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CHF&quot;;-#,##0 &quot;CHF&quot;;&quot;–&quot;"/>
    <numFmt numFmtId="165" formatCode="+#,##0 &quot;CHF&quot;;-#,##0 &quot;CHF&quot;;&quot;0 CHF&quot;"/>
    <numFmt numFmtId="166" formatCode="#,##0 &quot;CHF&quot;"/>
  </numFmts>
  <fonts count="14">
    <font>
      <name val="Calibri"/>
      <family val="2"/>
      <color theme="1"/>
      <sz val="11"/>
      <scheme val="minor"/>
    </font>
    <font>
      <name val="Arial"/>
      <b val="1"/>
      <color rgb="001B5F86"/>
      <sz val="18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71717"/>
      <sz val="10"/>
    </font>
    <font>
      <name val="Arial"/>
      <b val="1"/>
      <color rgb="00FFFFFF"/>
      <sz val="11"/>
    </font>
    <font>
      <name val="Arial"/>
      <b val="1"/>
      <color rgb="001B5F86"/>
      <sz val="12"/>
    </font>
    <font>
      <name val="Arial"/>
      <b val="1"/>
      <color rgb="00595959"/>
      <sz val="10"/>
    </font>
    <font>
      <name val="Arial"/>
      <b val="1"/>
      <color rgb="001B5F86"/>
      <sz val="10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5F86"/>
      </patternFill>
    </fill>
    <fill>
      <patternFill patternType="solid">
        <fgColor rgb="00EE725D"/>
      </patternFill>
    </fill>
    <fill>
      <patternFill patternType="solid">
        <fgColor rgb="00F3F3F3"/>
      </patternFill>
    </fill>
    <fill>
      <patternFill patternType="solid">
        <fgColor rgb="001F85BB"/>
      </patternFill>
    </fill>
    <fill>
      <patternFill patternType="solid">
        <fgColor rgb="008E7CC3"/>
      </patternFill>
    </fill>
    <fill>
      <patternFill patternType="solid">
        <fgColor rgb="0017171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164" fontId="4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3" fontId="4" fillId="2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right" vertical="center" wrapText="1"/>
    </xf>
    <xf numFmtId="165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164" fontId="6" fillId="0" borderId="1" applyAlignment="1" pivotButton="0" quotePrefix="0" xfId="0">
      <alignment horizontal="right" vertical="center" wrapText="1"/>
    </xf>
    <xf numFmtId="9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164" fontId="3" fillId="5" borderId="1" applyAlignment="1" pivotButton="0" quotePrefix="0" xfId="0">
      <alignment horizontal="right" vertical="center" wrapText="1"/>
    </xf>
    <xf numFmtId="9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164" fontId="9" fillId="3" borderId="1" applyAlignment="1" pivotButton="0" quotePrefix="0" xfId="0">
      <alignment horizontal="right" vertical="center" wrapText="1"/>
    </xf>
    <xf numFmtId="9" fontId="9" fillId="3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b val="1"/>
        <color rgb="00C00000"/>
      </font>
    </dxf>
    <dxf>
      <font>
        <name val="Arial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Marketing</author>
  </authors>
  <commentList>
    <comment ref="B4" authorId="0" shapeId="0">
      <text>
        <t>Hypothèse de travail : à remplacer par l'enveloppe réelle validée par la direction.</t>
      </text>
    </comment>
    <comment ref="B5" authorId="0" shapeId="0">
      <text>
        <t>10 midis × 25 présents + 4 soirées × 60 présents.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0" customWidth="1" min="3" max="3"/>
    <col width="11" customWidth="1" min="4" max="4"/>
    <col width="14" customWidth="1" min="5" max="5"/>
    <col width="15" customWidth="1" min="6" max="6"/>
    <col width="10" customWidth="1" min="7" max="7"/>
    <col width="15" customWidth="1" min="8" max="8"/>
    <col width="15" customWidth="1" min="9" max="9"/>
    <col width="17" customWidth="1" min="10" max="10"/>
    <col width="12" customWidth="1" min="11" max="11"/>
    <col width="30" customWidth="1" min="12" max="12"/>
  </cols>
  <sheetData>
    <row r="1" ht="30" customHeight="1">
      <c r="A1" s="1" t="inlineStr">
        <is>
          <t>Budget communication &amp; événementiel 2027 · L'Annexe by RG</t>
        </is>
      </c>
    </row>
    <row r="2">
      <c r="A2" s="2" t="inlineStr">
        <is>
          <t>Les montants se calculent tout seuls : modifie seulement les cellules en bleu (quantités, coûts unitaires, enveloppe, présents) et la colonne « Réel 2026 » (en jaune).</t>
        </is>
      </c>
    </row>
    <row r="4">
      <c r="A4" s="3" t="inlineStr">
        <is>
          <t>Enveloppe budgétaire 2027</t>
        </is>
      </c>
      <c r="B4" s="4" t="n">
        <v>60000</v>
      </c>
      <c r="D4" s="5" t="inlineStr">
        <is>
          <t>RÉSUMÉ</t>
        </is>
      </c>
    </row>
    <row r="5">
      <c r="A5" s="3" t="inlineStr">
        <is>
          <t>Personnes présentes visées (année)</t>
        </is>
      </c>
      <c r="B5" s="6" t="n">
        <v>490</v>
      </c>
      <c r="D5" s="3" t="inlineStr">
        <is>
          <t>Total 2027</t>
        </is>
      </c>
      <c r="F5" s="7">
        <f>F59</f>
        <v/>
      </c>
    </row>
    <row r="6">
      <c r="D6" s="3" t="inlineStr">
        <is>
          <t>Écart avec l'enveloppe</t>
        </is>
      </c>
      <c r="F6" s="8">
        <f>B4-F59</f>
        <v/>
      </c>
      <c r="G6" s="9">
        <f>IF(B4-F59&gt;=0,"✓ dans le budget","⚠ dépassement")</f>
        <v/>
      </c>
    </row>
    <row r="7">
      <c r="D7" s="3" t="inlineStr">
        <is>
          <t>Coût par personne présente</t>
        </is>
      </c>
      <c r="F7" s="10">
        <f>IF(B5=0,0,F59/B5)</f>
        <v/>
      </c>
    </row>
    <row r="8">
      <c r="D8" s="11" t="inlineStr">
        <is>
          <t>Répartition par bloc</t>
        </is>
      </c>
    </row>
    <row r="9">
      <c r="D9" s="12" t="inlineStr">
        <is>
          <t>Événements</t>
        </is>
      </c>
      <c r="E9" s="13" t="n"/>
      <c r="F9" s="14">
        <f>F25</f>
        <v/>
      </c>
      <c r="G9" s="15">
        <f>IF($F$59=0,0,F25/$F$59)</f>
        <v/>
      </c>
    </row>
    <row r="10">
      <c r="D10" s="16" t="inlineStr">
        <is>
          <t>Publicité &amp; contenus</t>
        </is>
      </c>
      <c r="E10" s="17" t="n"/>
      <c r="F10" s="14">
        <f>F35</f>
        <v/>
      </c>
      <c r="G10" s="15">
        <f>IF($F$59=0,0,F35/$F$59)</f>
        <v/>
      </c>
    </row>
    <row r="11">
      <c r="D11" s="18" t="inlineStr">
        <is>
          <t>Partenariats &amp; influence</t>
        </is>
      </c>
      <c r="E11" s="19" t="n"/>
      <c r="F11" s="14">
        <f>F41</f>
        <v/>
      </c>
      <c r="G11" s="15">
        <f>IF($F$59=0,0,F41/$F$59)</f>
        <v/>
      </c>
    </row>
    <row r="12">
      <c r="D12" s="20" t="inlineStr">
        <is>
          <t>Outils, image &amp; matériel</t>
        </is>
      </c>
      <c r="E12" s="21" t="n"/>
      <c r="F12" s="14">
        <f>F53</f>
        <v/>
      </c>
      <c r="G12" s="15">
        <f>IF($F$59=0,0,F53/$F$59)</f>
        <v/>
      </c>
    </row>
    <row r="13">
      <c r="D13" s="22" t="inlineStr">
        <is>
          <t>Réserve</t>
        </is>
      </c>
      <c r="E13" s="23" t="n"/>
      <c r="F13" s="14">
        <f>F57</f>
        <v/>
      </c>
      <c r="G13" s="15">
        <f>IF($F$59=0,0,F57/$F$59)</f>
        <v/>
      </c>
    </row>
    <row r="16" ht="28" customHeight="1">
      <c r="A16" s="24" t="inlineStr">
        <is>
          <t>Poste</t>
        </is>
      </c>
      <c r="B16" s="24" t="inlineStr">
        <is>
          <t>Détail / hypothèse</t>
        </is>
      </c>
      <c r="C16" s="24" t="inlineStr">
        <is>
          <t>Quantité</t>
        </is>
      </c>
      <c r="D16" s="24" t="inlineStr">
        <is>
          <t>Unité</t>
        </is>
      </c>
      <c r="E16" s="24" t="inlineStr">
        <is>
          <t>Coût unitaire</t>
        </is>
      </c>
      <c r="F16" s="24" t="inlineStr">
        <is>
          <t>Total 2027</t>
        </is>
      </c>
      <c r="G16" s="24" t="inlineStr">
        <is>
          <t>Part</t>
        </is>
      </c>
      <c r="H16" s="24" t="inlineStr">
        <is>
          <t>Réel 2026</t>
        </is>
      </c>
      <c r="I16" s="24" t="inlineStr">
        <is>
          <t>Écart vs 2026</t>
        </is>
      </c>
      <c r="J16" s="24" t="inlineStr">
        <is>
          <t>Priorité</t>
        </is>
      </c>
      <c r="K16" s="24" t="inlineStr">
        <is>
          <t>Trimestre</t>
        </is>
      </c>
      <c r="L16" s="24" t="inlineStr">
        <is>
          <t>Commentaire</t>
        </is>
      </c>
    </row>
    <row r="17" ht="22" customHeight="1">
      <c r="A17" s="12" t="inlineStr">
        <is>
          <t>A. Événements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25" t="inlineStr">
        <is>
          <t>Intervenants – Midis</t>
        </is>
      </c>
      <c r="B18" s="25" t="inlineStr">
        <is>
          <t>1 atelier par mois sauf juillet-août</t>
        </is>
      </c>
      <c r="C18" s="26" t="n">
        <v>10</v>
      </c>
      <c r="D18" s="27" t="inlineStr">
        <is>
          <t>atelier</t>
        </is>
      </c>
      <c r="E18" s="28" t="n">
        <v>400</v>
      </c>
      <c r="F18" s="14">
        <f>C18*E18</f>
        <v/>
      </c>
      <c r="G18" s="15">
        <f>IF($F$59=0,0,F18/$F$59)</f>
        <v/>
      </c>
      <c r="H18" s="29" t="n"/>
      <c r="I18" s="14">
        <f>IF(H18="","",F18-H18)</f>
        <v/>
      </c>
      <c r="J18" s="27" t="inlineStr">
        <is>
          <t>🟥 Indispensable</t>
        </is>
      </c>
      <c r="K18" s="27" t="inlineStr">
        <is>
          <t>Toute l'année</t>
        </is>
      </c>
      <c r="L18" s="25" t="inlineStr"/>
    </row>
    <row r="19">
      <c r="A19" s="25" t="inlineStr">
        <is>
          <t>Intervenants – Soirées</t>
        </is>
      </c>
      <c r="B19" s="25" t="inlineStr">
        <is>
          <t>1 soirée par trimestre</t>
        </is>
      </c>
      <c r="C19" s="26" t="n">
        <v>4</v>
      </c>
      <c r="D19" s="27" t="inlineStr">
        <is>
          <t>soirée</t>
        </is>
      </c>
      <c r="E19" s="28" t="n">
        <v>1200</v>
      </c>
      <c r="F19" s="14">
        <f>C19*E19</f>
        <v/>
      </c>
      <c r="G19" s="15">
        <f>IF($F$59=0,0,F19/$F$59)</f>
        <v/>
      </c>
      <c r="H19" s="29" t="n"/>
      <c r="I19" s="14">
        <f>IF(H19="","",F19-H19)</f>
        <v/>
      </c>
      <c r="J19" s="27" t="inlineStr">
        <is>
          <t>🟥 Indispensable</t>
        </is>
      </c>
      <c r="K19" s="27" t="inlineStr">
        <is>
          <t>Toute l'année</t>
        </is>
      </c>
      <c r="L19" s="25" t="inlineStr"/>
    </row>
    <row r="20">
      <c r="A20" s="25" t="inlineStr">
        <is>
          <t>Accueil &amp; traiteur – Midis</t>
        </is>
      </c>
      <c r="B20" s="25" t="inlineStr">
        <is>
          <t>10 midis × 30 personnes</t>
        </is>
      </c>
      <c r="C20" s="26" t="n">
        <v>300</v>
      </c>
      <c r="D20" s="27" t="inlineStr">
        <is>
          <t>couvert</t>
        </is>
      </c>
      <c r="E20" s="28" t="n">
        <v>12</v>
      </c>
      <c r="F20" s="14">
        <f>C20*E20</f>
        <v/>
      </c>
      <c r="G20" s="15">
        <f>IF($F$59=0,0,F20/$F$59)</f>
        <v/>
      </c>
      <c r="H20" s="29" t="n"/>
      <c r="I20" s="14">
        <f>IF(H20="","",F20-H20)</f>
        <v/>
      </c>
      <c r="J20" s="27" t="inlineStr">
        <is>
          <t>🟥 Indispensable</t>
        </is>
      </c>
      <c r="K20" s="27" t="inlineStr">
        <is>
          <t>Toute l'année</t>
        </is>
      </c>
      <c r="L20" s="25" t="inlineStr"/>
    </row>
    <row r="21">
      <c r="A21" s="25" t="inlineStr">
        <is>
          <t>Accueil &amp; traiteur – Soirées</t>
        </is>
      </c>
      <c r="B21" s="25" t="inlineStr">
        <is>
          <t>4 soirées × 70 personnes</t>
        </is>
      </c>
      <c r="C21" s="26" t="n">
        <v>280</v>
      </c>
      <c r="D21" s="27" t="inlineStr">
        <is>
          <t>couvert</t>
        </is>
      </c>
      <c r="E21" s="28" t="n">
        <v>25</v>
      </c>
      <c r="F21" s="14">
        <f>C21*E21</f>
        <v/>
      </c>
      <c r="G21" s="15">
        <f>IF($F$59=0,0,F21/$F$59)</f>
        <v/>
      </c>
      <c r="H21" s="29" t="n"/>
      <c r="I21" s="14">
        <f>IF(H21="","",F21-H21)</f>
        <v/>
      </c>
      <c r="J21" s="27" t="inlineStr">
        <is>
          <t>🟥 Indispensable</t>
        </is>
      </c>
      <c r="K21" s="27" t="inlineStr">
        <is>
          <t>Toute l'année</t>
        </is>
      </c>
      <c r="L21" s="25" t="inlineStr"/>
    </row>
    <row r="22">
      <c r="A22" s="25" t="inlineStr">
        <is>
          <t>Technique &amp; logistique – Soirées</t>
        </is>
      </c>
      <c r="B22" s="25" t="inlineStr">
        <is>
          <t>Son, écran, installation</t>
        </is>
      </c>
      <c r="C22" s="26" t="n">
        <v>4</v>
      </c>
      <c r="D22" s="27" t="inlineStr">
        <is>
          <t>soirée</t>
        </is>
      </c>
      <c r="E22" s="28" t="n">
        <v>600</v>
      </c>
      <c r="F22" s="14">
        <f>C22*E22</f>
        <v/>
      </c>
      <c r="G22" s="15">
        <f>IF($F$59=0,0,F22/$F$59)</f>
        <v/>
      </c>
      <c r="H22" s="29" t="n"/>
      <c r="I22" s="14">
        <f>IF(H22="","",F22-H22)</f>
        <v/>
      </c>
      <c r="J22" s="27" t="inlineStr">
        <is>
          <t>🟧 Important</t>
        </is>
      </c>
      <c r="K22" s="27" t="inlineStr">
        <is>
          <t>Toute l'année</t>
        </is>
      </c>
      <c r="L22" s="25" t="inlineStr"/>
    </row>
    <row r="23">
      <c r="A23" s="25" t="inlineStr">
        <is>
          <t>Matériel de captation (achat)</t>
        </is>
      </c>
      <c r="B23" s="25" t="inlineStr">
        <is>
          <t>Micro, éclairage, réutilisables</t>
        </is>
      </c>
      <c r="C23" s="26" t="n">
        <v>1</v>
      </c>
      <c r="D23" s="27" t="inlineStr">
        <is>
          <t>forfait</t>
        </is>
      </c>
      <c r="E23" s="28" t="n">
        <v>1500</v>
      </c>
      <c r="F23" s="14">
        <f>C23*E23</f>
        <v/>
      </c>
      <c r="G23" s="15">
        <f>IF($F$59=0,0,F23/$F$59)</f>
        <v/>
      </c>
      <c r="H23" s="29" t="n"/>
      <c r="I23" s="14">
        <f>IF(H23="","",F23-H23)</f>
        <v/>
      </c>
      <c r="J23" s="27" t="inlineStr">
        <is>
          <t>🟧 Important</t>
        </is>
      </c>
      <c r="K23" s="27" t="inlineStr">
        <is>
          <t>Toute l'année</t>
        </is>
      </c>
      <c r="L23" s="25" t="inlineStr"/>
    </row>
    <row r="24">
      <c r="A24" s="25" t="inlineStr">
        <is>
          <t>Jeu / outil de prévoyance</t>
        </is>
      </c>
      <c r="B24" s="25" t="inlineStr">
        <is>
          <t>Quiz interactif + tablette, relié aux simulateurs</t>
        </is>
      </c>
      <c r="C24" s="26" t="n">
        <v>1</v>
      </c>
      <c r="D24" s="27" t="inlineStr">
        <is>
          <t>forfait</t>
        </is>
      </c>
      <c r="E24" s="28" t="n">
        <v>6000</v>
      </c>
      <c r="F24" s="14">
        <f>C24*E24</f>
        <v/>
      </c>
      <c r="G24" s="15">
        <f>IF($F$59=0,0,F24/$F$59)</f>
        <v/>
      </c>
      <c r="H24" s="29" t="n"/>
      <c r="I24" s="14">
        <f>IF(H24="","",F24-H24)</f>
        <v/>
      </c>
      <c r="J24" s="27" t="inlineStr">
        <is>
          <t>🟧 Important</t>
        </is>
      </c>
      <c r="K24" s="27" t="inlineStr">
        <is>
          <t>Toute l'année</t>
        </is>
      </c>
      <c r="L24" s="25" t="inlineStr"/>
    </row>
    <row r="25">
      <c r="A25" s="30" t="inlineStr">
        <is>
          <t>Sous-total Événements</t>
        </is>
      </c>
      <c r="B25" s="31" t="n"/>
      <c r="C25" s="31" t="n"/>
      <c r="D25" s="31" t="n"/>
      <c r="E25" s="31" t="n"/>
      <c r="F25" s="32">
        <f>SUM(F18:F24)</f>
        <v/>
      </c>
      <c r="G25" s="33">
        <f>IF($F$59=0,0,F25/$F$59)</f>
        <v/>
      </c>
      <c r="H25" s="32">
        <f>IF(COUNT(H18:H24)=0,"",SUM(H18:H24))</f>
        <v/>
      </c>
      <c r="I25" s="32">
        <f>IF(H25="","",F25-H25)</f>
        <v/>
      </c>
      <c r="J25" s="34" t="n"/>
      <c r="K25" s="34" t="n"/>
      <c r="L25" s="34" t="n"/>
    </row>
    <row r="26"/>
    <row r="27" ht="22" customHeight="1">
      <c r="A27" s="16" t="inlineStr">
        <is>
          <t>B. Publicité &amp; contenus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25" t="inlineStr">
        <is>
          <t>Pub continue (notoriété)</t>
        </is>
      </c>
      <c r="B28" s="25" t="inlineStr">
        <is>
          <t>20-35 ans, Genève</t>
        </is>
      </c>
      <c r="C28" s="26" t="n">
        <v>12</v>
      </c>
      <c r="D28" s="27" t="inlineStr">
        <is>
          <t>mois</t>
        </is>
      </c>
      <c r="E28" s="28" t="n">
        <v>300</v>
      </c>
      <c r="F28" s="14">
        <f>C28*E28</f>
        <v/>
      </c>
      <c r="G28" s="15">
        <f>IF($F$59=0,0,F28/$F$59)</f>
        <v/>
      </c>
      <c r="H28" s="29" t="n"/>
      <c r="I28" s="14">
        <f>IF(H28="","",F28-H28)</f>
        <v/>
      </c>
      <c r="J28" s="27" t="inlineStr">
        <is>
          <t>🟥 Indispensable</t>
        </is>
      </c>
      <c r="K28" s="27" t="inlineStr">
        <is>
          <t>Toute l'année</t>
        </is>
      </c>
      <c r="L28" s="25" t="inlineStr"/>
    </row>
    <row r="29">
      <c r="A29" s="25" t="inlineStr">
        <is>
          <t>Campagnes Soirées</t>
        </is>
      </c>
      <c r="B29" s="25" t="inlineStr">
        <is>
          <t>Inscriptions + relance</t>
        </is>
      </c>
      <c r="C29" s="26" t="n">
        <v>4</v>
      </c>
      <c r="D29" s="27" t="inlineStr">
        <is>
          <t>campagne</t>
        </is>
      </c>
      <c r="E29" s="28" t="n">
        <v>800</v>
      </c>
      <c r="F29" s="14">
        <f>C29*E29</f>
        <v/>
      </c>
      <c r="G29" s="15">
        <f>IF($F$59=0,0,F29/$F$59)</f>
        <v/>
      </c>
      <c r="H29" s="29" t="n"/>
      <c r="I29" s="14">
        <f>IF(H29="","",F29-H29)</f>
        <v/>
      </c>
      <c r="J29" s="27" t="inlineStr">
        <is>
          <t>🟥 Indispensable</t>
        </is>
      </c>
      <c r="K29" s="27" t="inlineStr">
        <is>
          <t>Toute l'année</t>
        </is>
      </c>
      <c r="L29" s="25" t="inlineStr"/>
    </row>
    <row r="30">
      <c r="A30" s="25" t="inlineStr">
        <is>
          <t>Campagnes Midis</t>
        </is>
      </c>
      <c r="B30" s="25" t="inlineStr">
        <is>
          <t>Inscriptions + relance</t>
        </is>
      </c>
      <c r="C30" s="26" t="n">
        <v>10</v>
      </c>
      <c r="D30" s="27" t="inlineStr">
        <is>
          <t>campagne</t>
        </is>
      </c>
      <c r="E30" s="28" t="n">
        <v>150</v>
      </c>
      <c r="F30" s="14">
        <f>C30*E30</f>
        <v/>
      </c>
      <c r="G30" s="15">
        <f>IF($F$59=0,0,F30/$F$59)</f>
        <v/>
      </c>
      <c r="H30" s="29" t="n"/>
      <c r="I30" s="14">
        <f>IF(H30="","",F30-H30)</f>
        <v/>
      </c>
      <c r="J30" s="27" t="inlineStr">
        <is>
          <t>🟥 Indispensable</t>
        </is>
      </c>
      <c r="K30" s="27" t="inlineStr">
        <is>
          <t>Toute l'année</t>
        </is>
      </c>
      <c r="L30" s="25" t="inlineStr"/>
    </row>
    <row r="31">
      <c r="A31" s="25" t="inlineStr">
        <is>
          <t>Campagne fin d'année</t>
        </is>
      </c>
      <c r="B31" s="25" t="inlineStr">
        <is>
          <t>Simulateurs, échéance 31.12</t>
        </is>
      </c>
      <c r="C31" s="26" t="n">
        <v>1</v>
      </c>
      <c r="D31" s="27" t="inlineStr">
        <is>
          <t>campagne</t>
        </is>
      </c>
      <c r="E31" s="28" t="n">
        <v>1500</v>
      </c>
      <c r="F31" s="14">
        <f>C31*E31</f>
        <v/>
      </c>
      <c r="G31" s="15">
        <f>IF($F$59=0,0,F31/$F$59)</f>
        <v/>
      </c>
      <c r="H31" s="29" t="n"/>
      <c r="I31" s="14">
        <f>IF(H31="","",F31-H31)</f>
        <v/>
      </c>
      <c r="J31" s="27" t="inlineStr">
        <is>
          <t>🟥 Indispensable</t>
        </is>
      </c>
      <c r="K31" s="27" t="inlineStr">
        <is>
          <t>Toute l'année</t>
        </is>
      </c>
      <c r="L31" s="25" t="inlineStr"/>
    </row>
    <row r="32">
      <c r="A32" s="25" t="inlineStr">
        <is>
          <t>Photographe – Soirées</t>
        </is>
      </c>
      <c r="B32" s="25" t="inlineStr">
        <is>
          <t>Demi-journée</t>
        </is>
      </c>
      <c r="C32" s="26" t="n">
        <v>4</v>
      </c>
      <c r="D32" s="27" t="inlineStr">
        <is>
          <t>soirée</t>
        </is>
      </c>
      <c r="E32" s="28" t="n">
        <v>700</v>
      </c>
      <c r="F32" s="14">
        <f>C32*E32</f>
        <v/>
      </c>
      <c r="G32" s="15">
        <f>IF($F$59=0,0,F32/$F$59)</f>
        <v/>
      </c>
      <c r="H32" s="29" t="n"/>
      <c r="I32" s="14">
        <f>IF(H32="","",F32-H32)</f>
        <v/>
      </c>
      <c r="J32" s="27" t="inlineStr">
        <is>
          <t>🟧 Important</t>
        </is>
      </c>
      <c r="K32" s="27" t="inlineStr">
        <is>
          <t>Toute l'année</t>
        </is>
      </c>
      <c r="L32" s="25" t="inlineStr"/>
    </row>
    <row r="33">
      <c r="A33" s="25" t="inlineStr">
        <is>
          <t>Banque d'images &amp; musique</t>
        </is>
      </c>
      <c r="B33" s="25" t="inlineStr">
        <is>
          <t>Libres de droits</t>
        </is>
      </c>
      <c r="C33" s="26" t="n">
        <v>1</v>
      </c>
      <c r="D33" s="27" t="inlineStr">
        <is>
          <t>an</t>
        </is>
      </c>
      <c r="E33" s="28" t="n">
        <v>300</v>
      </c>
      <c r="F33" s="14">
        <f>C33*E33</f>
        <v/>
      </c>
      <c r="G33" s="15">
        <f>IF($F$59=0,0,F33/$F$59)</f>
        <v/>
      </c>
      <c r="H33" s="29" t="n"/>
      <c r="I33" s="14">
        <f>IF(H33="","",F33-H33)</f>
        <v/>
      </c>
      <c r="J33" s="27" t="inlineStr">
        <is>
          <t>🟩 Si budget</t>
        </is>
      </c>
      <c r="K33" s="27" t="inlineStr">
        <is>
          <t>Toute l'année</t>
        </is>
      </c>
      <c r="L33" s="25" t="inlineStr"/>
    </row>
    <row r="34">
      <c r="A34" s="25" t="inlineStr">
        <is>
          <t>Site internet</t>
        </is>
      </c>
      <c r="B34" s="25" t="inlineStr">
        <is>
          <t>Formulaire, agenda, suivi des visites</t>
        </is>
      </c>
      <c r="C34" s="26" t="n">
        <v>1</v>
      </c>
      <c r="D34" s="27" t="inlineStr">
        <is>
          <t>forfait</t>
        </is>
      </c>
      <c r="E34" s="28" t="n">
        <v>2000</v>
      </c>
      <c r="F34" s="14">
        <f>C34*E34</f>
        <v/>
      </c>
      <c r="G34" s="15">
        <f>IF($F$59=0,0,F34/$F$59)</f>
        <v/>
      </c>
      <c r="H34" s="29" t="n"/>
      <c r="I34" s="14">
        <f>IF(H34="","",F34-H34)</f>
        <v/>
      </c>
      <c r="J34" s="27" t="inlineStr">
        <is>
          <t>🟥 Indispensable</t>
        </is>
      </c>
      <c r="K34" s="27" t="inlineStr">
        <is>
          <t>Toute l'année</t>
        </is>
      </c>
      <c r="L34" s="25" t="inlineStr"/>
    </row>
    <row r="35">
      <c r="A35" s="30" t="inlineStr">
        <is>
          <t>Sous-total Publicité &amp; contenus</t>
        </is>
      </c>
      <c r="B35" s="31" t="n"/>
      <c r="C35" s="31" t="n"/>
      <c r="D35" s="31" t="n"/>
      <c r="E35" s="31" t="n"/>
      <c r="F35" s="32">
        <f>SUM(F28:F34)</f>
        <v/>
      </c>
      <c r="G35" s="33">
        <f>IF($F$59=0,0,F35/$F$59)</f>
        <v/>
      </c>
      <c r="H35" s="32">
        <f>IF(COUNT(H28:H34)=0,"",SUM(H28:H34))</f>
        <v/>
      </c>
      <c r="I35" s="32">
        <f>IF(H35="","",F35-H35)</f>
        <v/>
      </c>
      <c r="J35" s="34" t="n"/>
      <c r="K35" s="34" t="n"/>
      <c r="L35" s="34" t="n"/>
    </row>
    <row r="36"/>
    <row r="37" ht="22" customHeight="1">
      <c r="A37" s="18" t="inlineStr">
        <is>
          <t>C. Partenariats &amp; influence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</row>
    <row r="38">
      <c r="A38" s="25" t="inlineStr">
        <is>
          <t>Micro-influenceurs genevois</t>
        </is>
      </c>
      <c r="B38" s="25" t="inlineStr">
        <is>
          <t>Collaborations ponctuelles</t>
        </is>
      </c>
      <c r="C38" s="26" t="n">
        <v>6</v>
      </c>
      <c r="D38" s="27" t="inlineStr">
        <is>
          <t>collab.</t>
        </is>
      </c>
      <c r="E38" s="28" t="n">
        <v>400</v>
      </c>
      <c r="F38" s="14">
        <f>C38*E38</f>
        <v/>
      </c>
      <c r="G38" s="15">
        <f>IF($F$59=0,0,F38/$F$59)</f>
        <v/>
      </c>
      <c r="H38" s="29" t="n"/>
      <c r="I38" s="14">
        <f>IF(H38="","",F38-H38)</f>
        <v/>
      </c>
      <c r="J38" s="27" t="inlineStr">
        <is>
          <t>🟧 Important</t>
        </is>
      </c>
      <c r="K38" s="27" t="inlineStr">
        <is>
          <t>Toute l'année</t>
        </is>
      </c>
      <c r="L38" s="25" t="inlineStr"/>
    </row>
    <row r="39">
      <c r="A39" s="25" t="inlineStr">
        <is>
          <t>Programme ambassadeurs</t>
        </is>
      </c>
      <c r="B39" s="25" t="inlineStr">
        <is>
          <t>10 personnes, avantages</t>
        </is>
      </c>
      <c r="C39" s="26" t="n">
        <v>1</v>
      </c>
      <c r="D39" s="27" t="inlineStr">
        <is>
          <t>forfait</t>
        </is>
      </c>
      <c r="E39" s="28" t="n">
        <v>1000</v>
      </c>
      <c r="F39" s="14">
        <f>C39*E39</f>
        <v/>
      </c>
      <c r="G39" s="15">
        <f>IF($F$59=0,0,F39/$F$59)</f>
        <v/>
      </c>
      <c r="H39" s="29" t="n"/>
      <c r="I39" s="14">
        <f>IF(H39="","",F39-H39)</f>
        <v/>
      </c>
      <c r="J39" s="27" t="inlineStr">
        <is>
          <t>🟧 Important</t>
        </is>
      </c>
      <c r="K39" s="27" t="inlineStr">
        <is>
          <t>Toute l'année</t>
        </is>
      </c>
      <c r="L39" s="25" t="inlineStr"/>
    </row>
    <row r="40">
      <c r="A40" s="25" t="inlineStr">
        <is>
          <t>Sponsoring &amp; partenariats</t>
        </is>
      </c>
      <c r="B40" s="25" t="inlineStr">
        <is>
          <t>Présence à des événements partenaires</t>
        </is>
      </c>
      <c r="C40" s="26" t="n">
        <v>2</v>
      </c>
      <c r="D40" s="27" t="inlineStr">
        <is>
          <t>événement</t>
        </is>
      </c>
      <c r="E40" s="28" t="n">
        <v>1250</v>
      </c>
      <c r="F40" s="14">
        <f>C40*E40</f>
        <v/>
      </c>
      <c r="G40" s="15">
        <f>IF($F$59=0,0,F40/$F$59)</f>
        <v/>
      </c>
      <c r="H40" s="29" t="n"/>
      <c r="I40" s="14">
        <f>IF(H40="","",F40-H40)</f>
        <v/>
      </c>
      <c r="J40" s="27" t="inlineStr">
        <is>
          <t>🟥 Indispensable</t>
        </is>
      </c>
      <c r="K40" s="27" t="inlineStr">
        <is>
          <t>Toute l'année</t>
        </is>
      </c>
      <c r="L40" s="25" t="inlineStr"/>
    </row>
    <row r="41">
      <c r="A41" s="30" t="inlineStr">
        <is>
          <t>Sous-total Partenariats &amp; influence</t>
        </is>
      </c>
      <c r="B41" s="31" t="n"/>
      <c r="C41" s="31" t="n"/>
      <c r="D41" s="31" t="n"/>
      <c r="E41" s="31" t="n"/>
      <c r="F41" s="32">
        <f>SUM(F38:F40)</f>
        <v/>
      </c>
      <c r="G41" s="33">
        <f>IF($F$59=0,0,F41/$F$59)</f>
        <v/>
      </c>
      <c r="H41" s="32">
        <f>IF(COUNT(H38:H40)=0,"",SUM(H38:H40))</f>
        <v/>
      </c>
      <c r="I41" s="32">
        <f>IF(H41="","",F41-H41)</f>
        <v/>
      </c>
      <c r="J41" s="34" t="n"/>
      <c r="K41" s="34" t="n"/>
      <c r="L41" s="34" t="n"/>
    </row>
    <row r="42"/>
    <row r="43" ht="22" customHeight="1">
      <c r="A43" s="20" t="inlineStr">
        <is>
          <t>D. Outils, image &amp; matériel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</row>
    <row r="44">
      <c r="A44" s="25" t="inlineStr">
        <is>
          <t>Outil de création</t>
        </is>
      </c>
      <c r="B44" s="25" t="inlineStr">
        <is>
          <t>Version équipe</t>
        </is>
      </c>
      <c r="C44" s="26" t="n">
        <v>1</v>
      </c>
      <c r="D44" s="27" t="inlineStr">
        <is>
          <t>an</t>
        </is>
      </c>
      <c r="E44" s="28" t="n">
        <v>400</v>
      </c>
      <c r="F44" s="14">
        <f>C44*E44</f>
        <v/>
      </c>
      <c r="G44" s="15">
        <f>IF($F$59=0,0,F44/$F$59)</f>
        <v/>
      </c>
      <c r="H44" s="29" t="n"/>
      <c r="I44" s="14">
        <f>IF(H44="","",F44-H44)</f>
        <v/>
      </c>
      <c r="J44" s="27" t="inlineStr">
        <is>
          <t>🟥 Indispensable</t>
        </is>
      </c>
      <c r="K44" s="27" t="inlineStr">
        <is>
          <t>Toute l'année</t>
        </is>
      </c>
      <c r="L44" s="25" t="inlineStr"/>
    </row>
    <row r="45">
      <c r="A45" s="25" t="inlineStr">
        <is>
          <t>Outil de planification &amp; stats</t>
        </is>
      </c>
      <c r="B45" s="25" t="inlineStr">
        <is>
          <t>Annuel</t>
        </is>
      </c>
      <c r="C45" s="26" t="n">
        <v>1</v>
      </c>
      <c r="D45" s="27" t="inlineStr">
        <is>
          <t>an</t>
        </is>
      </c>
      <c r="E45" s="28" t="n">
        <v>300</v>
      </c>
      <c r="F45" s="14">
        <f>C45*E45</f>
        <v/>
      </c>
      <c r="G45" s="15">
        <f>IF($F$59=0,0,F45/$F$59)</f>
        <v/>
      </c>
      <c r="H45" s="29" t="n"/>
      <c r="I45" s="14">
        <f>IF(H45="","",F45-H45)</f>
        <v/>
      </c>
      <c r="J45" s="27" t="inlineStr">
        <is>
          <t>🟧 Important</t>
        </is>
      </c>
      <c r="K45" s="27" t="inlineStr">
        <is>
          <t>Toute l'année</t>
        </is>
      </c>
      <c r="L45" s="25" t="inlineStr"/>
    </row>
    <row r="46">
      <c r="A46" s="25" t="inlineStr">
        <is>
          <t>Outil d'emailing / newsletter</t>
        </is>
      </c>
      <c r="B46" s="25" t="inlineStr">
        <is>
          <t>Annuel</t>
        </is>
      </c>
      <c r="C46" s="26" t="n">
        <v>1</v>
      </c>
      <c r="D46" s="27" t="inlineStr">
        <is>
          <t>an</t>
        </is>
      </c>
      <c r="E46" s="28" t="n">
        <v>300</v>
      </c>
      <c r="F46" s="14">
        <f>C46*E46</f>
        <v/>
      </c>
      <c r="G46" s="15">
        <f>IF($F$59=0,0,F46/$F$59)</f>
        <v/>
      </c>
      <c r="H46" s="29" t="n"/>
      <c r="I46" s="14">
        <f>IF(H46="","",F46-H46)</f>
        <v/>
      </c>
      <c r="J46" s="27" t="inlineStr">
        <is>
          <t>🟥 Indispensable</t>
        </is>
      </c>
      <c r="K46" s="27" t="inlineStr">
        <is>
          <t>Toute l'année</t>
        </is>
      </c>
      <c r="L46" s="25" t="inlineStr"/>
    </row>
    <row r="47">
      <c r="A47" s="25" t="inlineStr">
        <is>
          <t>Montage vidéo &amp; autres abonnements</t>
        </is>
      </c>
      <c r="B47" s="25" t="inlineStr">
        <is>
          <t>Annuel</t>
        </is>
      </c>
      <c r="C47" s="26" t="n">
        <v>1</v>
      </c>
      <c r="D47" s="27" t="inlineStr">
        <is>
          <t>an</t>
        </is>
      </c>
      <c r="E47" s="28" t="n">
        <v>300</v>
      </c>
      <c r="F47" s="14">
        <f>C47*E47</f>
        <v/>
      </c>
      <c r="G47" s="15">
        <f>IF($F$59=0,0,F47/$F$59)</f>
        <v/>
      </c>
      <c r="H47" s="29" t="n"/>
      <c r="I47" s="14">
        <f>IF(H47="","",F47-H47)</f>
        <v/>
      </c>
      <c r="J47" s="27" t="inlineStr">
        <is>
          <t>🟩 Si budget</t>
        </is>
      </c>
      <c r="K47" s="27" t="inlineStr">
        <is>
          <t>Toute l'année</t>
        </is>
      </c>
      <c r="L47" s="25" t="inlineStr"/>
    </row>
    <row r="48">
      <c r="A48" s="25" t="inlineStr">
        <is>
          <t>Merchandising</t>
        </is>
      </c>
      <c r="B48" s="25" t="inlineStr">
        <is>
          <t>Tote bags, gourdes, carnets</t>
        </is>
      </c>
      <c r="C48" s="26" t="n">
        <v>150</v>
      </c>
      <c r="D48" s="27" t="inlineStr">
        <is>
          <t>pièce</t>
        </is>
      </c>
      <c r="E48" s="28" t="n">
        <v>10</v>
      </c>
      <c r="F48" s="14">
        <f>C48*E48</f>
        <v/>
      </c>
      <c r="G48" s="15">
        <f>IF($F$59=0,0,F48/$F$59)</f>
        <v/>
      </c>
      <c r="H48" s="29" t="n"/>
      <c r="I48" s="14">
        <f>IF(H48="","",F48-H48)</f>
        <v/>
      </c>
      <c r="J48" s="27" t="inlineStr">
        <is>
          <t>🟩 Si budget</t>
        </is>
      </c>
      <c r="K48" s="27" t="inlineStr">
        <is>
          <t>Toute l'année</t>
        </is>
      </c>
      <c r="L48" s="25" t="inlineStr"/>
    </row>
    <row r="49">
      <c r="A49" s="25" t="inlineStr">
        <is>
          <t>Cadeaux intervenants &amp; partenaires</t>
        </is>
      </c>
      <c r="B49" s="25" t="inlineStr">
        <is>
          <t>1 par événement</t>
        </is>
      </c>
      <c r="C49" s="26" t="n">
        <v>14</v>
      </c>
      <c r="D49" s="27" t="inlineStr">
        <is>
          <t>cadeau</t>
        </is>
      </c>
      <c r="E49" s="28" t="n">
        <v>50</v>
      </c>
      <c r="F49" s="14">
        <f>C49*E49</f>
        <v/>
      </c>
      <c r="G49" s="15">
        <f>IF($F$59=0,0,F49/$F$59)</f>
        <v/>
      </c>
      <c r="H49" s="29" t="n"/>
      <c r="I49" s="14">
        <f>IF(H49="","",F49-H49)</f>
        <v/>
      </c>
      <c r="J49" s="27" t="inlineStr">
        <is>
          <t>🟩 Si budget</t>
        </is>
      </c>
      <c r="K49" s="27" t="inlineStr">
        <is>
          <t>Toute l'année</t>
        </is>
      </c>
      <c r="L49" s="25" t="inlineStr"/>
    </row>
    <row r="50">
      <c r="A50" s="25" t="inlineStr">
        <is>
          <t>Papeterie, impressions, signalétique</t>
        </is>
      </c>
      <c r="B50" s="25" t="inlineStr">
        <is>
          <t>Kakémono, panneaux, cartes QR</t>
        </is>
      </c>
      <c r="C50" s="26" t="n">
        <v>1</v>
      </c>
      <c r="D50" s="27" t="inlineStr">
        <is>
          <t>forfait</t>
        </is>
      </c>
      <c r="E50" s="28" t="n">
        <v>1500</v>
      </c>
      <c r="F50" s="14">
        <f>C50*E50</f>
        <v/>
      </c>
      <c r="G50" s="15">
        <f>IF($F$59=0,0,F50/$F$59)</f>
        <v/>
      </c>
      <c r="H50" s="29" t="n"/>
      <c r="I50" s="14">
        <f>IF(H50="","",F50-H50)</f>
        <v/>
      </c>
      <c r="J50" s="27" t="inlineStr">
        <is>
          <t>🟩 Si budget</t>
        </is>
      </c>
      <c r="K50" s="27" t="inlineStr">
        <is>
          <t>Toute l'année</t>
        </is>
      </c>
      <c r="L50" s="25" t="inlineStr"/>
    </row>
    <row r="51">
      <c r="A51" s="25" t="inlineStr">
        <is>
          <t>Tenues de l'équipe</t>
        </is>
      </c>
      <c r="B51" s="25" t="inlineStr">
        <is>
          <t>Événements</t>
        </is>
      </c>
      <c r="C51" s="26" t="n">
        <v>5</v>
      </c>
      <c r="D51" s="27" t="inlineStr">
        <is>
          <t>tenue</t>
        </is>
      </c>
      <c r="E51" s="28" t="n">
        <v>60</v>
      </c>
      <c r="F51" s="14">
        <f>C51*E51</f>
        <v/>
      </c>
      <c r="G51" s="15">
        <f>IF($F$59=0,0,F51/$F$59)</f>
        <v/>
      </c>
      <c r="H51" s="29" t="n"/>
      <c r="I51" s="14">
        <f>IF(H51="","",F51-H51)</f>
        <v/>
      </c>
      <c r="J51" s="27" t="inlineStr">
        <is>
          <t>🟩 Si budget</t>
        </is>
      </c>
      <c r="K51" s="27" t="inlineStr">
        <is>
          <t>Toute l'année</t>
        </is>
      </c>
      <c r="L51" s="25" t="inlineStr"/>
    </row>
    <row r="52">
      <c r="A52" s="25" t="inlineStr">
        <is>
          <t>Accompagnement externe</t>
        </is>
      </c>
      <c r="B52" s="25" t="inlineStr">
        <is>
          <t>Formation pub Meta + suivi</t>
        </is>
      </c>
      <c r="C52" s="26" t="n">
        <v>1</v>
      </c>
      <c r="D52" s="27" t="inlineStr">
        <is>
          <t>forfait</t>
        </is>
      </c>
      <c r="E52" s="28" t="n">
        <v>2500</v>
      </c>
      <c r="F52" s="14">
        <f>C52*E52</f>
        <v/>
      </c>
      <c r="G52" s="15">
        <f>IF($F$59=0,0,F52/$F$59)</f>
        <v/>
      </c>
      <c r="H52" s="29" t="n"/>
      <c r="I52" s="14">
        <f>IF(H52="","",F52-H52)</f>
        <v/>
      </c>
      <c r="J52" s="27" t="inlineStr">
        <is>
          <t>🟧 Important</t>
        </is>
      </c>
      <c r="K52" s="27" t="inlineStr">
        <is>
          <t>Toute l'année</t>
        </is>
      </c>
      <c r="L52" s="25" t="inlineStr"/>
    </row>
    <row r="53">
      <c r="A53" s="30" t="inlineStr">
        <is>
          <t>Sous-total Outils, image &amp; matériel</t>
        </is>
      </c>
      <c r="B53" s="31" t="n"/>
      <c r="C53" s="31" t="n"/>
      <c r="D53" s="31" t="n"/>
      <c r="E53" s="31" t="n"/>
      <c r="F53" s="32">
        <f>SUM(F44:F52)</f>
        <v/>
      </c>
      <c r="G53" s="33">
        <f>IF($F$59=0,0,F53/$F$59)</f>
        <v/>
      </c>
      <c r="H53" s="32">
        <f>IF(COUNT(H44:H52)=0,"",SUM(H44:H52))</f>
        <v/>
      </c>
      <c r="I53" s="32">
        <f>IF(H53="","",F53-H53)</f>
        <v/>
      </c>
      <c r="J53" s="34" t="n"/>
      <c r="K53" s="34" t="n"/>
      <c r="L53" s="34" t="n"/>
    </row>
    <row r="54"/>
    <row r="55" ht="22" customHeight="1">
      <c r="A55" s="22" t="inlineStr">
        <is>
          <t>E. Réserve</t>
        </is>
      </c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</row>
    <row r="56">
      <c r="A56" s="25" t="inlineStr">
        <is>
          <t>Réserve pour tests</t>
        </is>
      </c>
      <c r="B56" s="25" t="inlineStr">
        <is>
          <t>Nouveau format ou opportunité</t>
        </is>
      </c>
      <c r="C56" s="26" t="n">
        <v>1</v>
      </c>
      <c r="D56" s="27" t="inlineStr">
        <is>
          <t>forfait</t>
        </is>
      </c>
      <c r="E56" s="28" t="n">
        <v>2100</v>
      </c>
      <c r="F56" s="14">
        <f>C56*E56</f>
        <v/>
      </c>
      <c r="G56" s="15">
        <f>IF($F$59=0,0,F56/$F$59)</f>
        <v/>
      </c>
      <c r="H56" s="29" t="n"/>
      <c r="I56" s="14">
        <f>IF(H56="","",F56-H56)</f>
        <v/>
      </c>
      <c r="J56" s="27" t="inlineStr">
        <is>
          <t>🟧 Important</t>
        </is>
      </c>
      <c r="K56" s="27" t="inlineStr">
        <is>
          <t>Toute l'année</t>
        </is>
      </c>
      <c r="L56" s="25" t="inlineStr"/>
    </row>
    <row r="57">
      <c r="A57" s="30" t="inlineStr">
        <is>
          <t>Sous-total Réserve</t>
        </is>
      </c>
      <c r="B57" s="31" t="n"/>
      <c r="C57" s="31" t="n"/>
      <c r="D57" s="31" t="n"/>
      <c r="E57" s="31" t="n"/>
      <c r="F57" s="32">
        <f>SUM(F56:F56)</f>
        <v/>
      </c>
      <c r="G57" s="33">
        <f>IF($F$59=0,0,F57/$F$59)</f>
        <v/>
      </c>
      <c r="H57" s="32">
        <f>IF(COUNT(H56:H56)=0,"",SUM(H56:H56))</f>
        <v/>
      </c>
      <c r="I57" s="32">
        <f>IF(H57="","",F57-H57)</f>
        <v/>
      </c>
      <c r="J57" s="34" t="n"/>
      <c r="K57" s="34" t="n"/>
      <c r="L57" s="34" t="n"/>
    </row>
    <row r="58"/>
    <row r="59" ht="24" customHeight="1">
      <c r="A59" s="35" t="inlineStr">
        <is>
          <t>TOTAL 2027</t>
        </is>
      </c>
      <c r="B59" s="36" t="n"/>
      <c r="C59" s="36" t="n"/>
      <c r="D59" s="36" t="n"/>
      <c r="E59" s="36" t="n"/>
      <c r="F59" s="37">
        <f>F25+F35+F41+F53+F57</f>
        <v/>
      </c>
      <c r="G59" s="38">
        <f>IF(F59=0,0,1)</f>
        <v/>
      </c>
      <c r="H59" s="37">
        <f>IF(COUNT(H25,H35,H41,H53,H57)=0,"",SUM(H25,H35,H41,H53,H57))</f>
        <v/>
      </c>
      <c r="I59" s="37">
        <f>IF(H59="","",F59-H59)</f>
        <v/>
      </c>
      <c r="J59" s="39" t="n"/>
      <c r="K59" s="39" t="n"/>
      <c r="L59" s="39" t="n"/>
    </row>
    <row r="61">
      <c r="A61" s="40" t="inlineStr">
        <is>
          <t>À savoir</t>
        </is>
      </c>
    </row>
    <row r="62">
      <c r="A62" s="41" t="inlineStr">
        <is>
          <t>• Les coûts unitaires sont des estimations pour Genève : à confirmer par des devis (traiteur, intervenants, photographe, abonnements).</t>
        </is>
      </c>
    </row>
    <row r="63">
      <c r="A63" s="41" t="inlineStr">
        <is>
          <t>• L'enveloppe de 60'000 CHF est une hypothèse de travail : remplace-la par le montant réel, le résumé indique tout de suite si le plan tient.</t>
        </is>
      </c>
    </row>
    <row r="64">
      <c r="A64" s="41" t="inlineStr">
        <is>
          <t>• Remplis la colonne « Réel 2026 » (en jaune) pour comparer avec l'an dernier : l'écart se calcule tout seul.</t>
        </is>
      </c>
    </row>
    <row r="65">
      <c r="A65" s="41" t="inlineStr">
        <is>
          <t>• Le jeu de prévoyance (6'000) et l'accompagnement externe (2'500) sont des investissements ponctuels : sans eux, le coût par personne présente baisse d'environ 17 CHF.</t>
        </is>
      </c>
    </row>
  </sheetData>
  <conditionalFormatting sqref="F6">
    <cfRule type="cellIs" priority="1" operator="lessThan" dxfId="0">
      <formula>0</formula>
    </cfRule>
  </conditionalFormatting>
  <conditionalFormatting sqref="G6">
    <cfRule type="expression" priority="2" dxfId="0">
      <formula>$F$6&lt;0</formula>
    </cfRule>
    <cfRule type="expression" priority="3" dxfId="1">
      <formula>$F$6&gt;=0</formula>
    </cfRule>
  </conditionalFormatting>
  <dataValidations count="2">
    <dataValidation sqref="J18 J19 J20 J21 J22 J23 J24 J28 J29 J30 J31 J32 J33 J34 J38 J39 J40 J44 J45 J46 J47 J48 J49 J50 J51 J52 J56" showDropDown="0" showInputMessage="0" showErrorMessage="0" allowBlank="1" type="list">
      <formula1>"🟥 Indispensable,🟧 Important,🟩 Si budget"</formula1>
    </dataValidation>
    <dataValidation sqref="K18 K19 K20 K21 K22 K23 K24 K28 K29 K30 K31 K32 K33 K34 K38 K39 K40 K44 K45 K46 K47 K48 K49 K50 K51 K52 K56" showDropDown="0" showInputMessage="0" showErrorMessage="0" allowBlank="1" type="list">
      <formula1>"T1,T2,T3,T4,Toute l'année"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2026-10-05T13:40:17Z</dcterms:created>
  <dcterms:modified xsi:type="dcterms:W3CDTF">2026-10-05T13:40:17Z</dcterms:modified>
</cp:coreProperties>
</file>