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réseaux sociaux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CHF&quot;;-#,##0 &quot;CHF&quot;;&quot;–&quot;"/>
    <numFmt numFmtId="165" formatCode="#,##0 &quot;CHF&quot;"/>
    <numFmt numFmtId="166" formatCode="+#,##0 &quot;CHF&quot;;-#,##0 &quot;CHF&quot;;&quot;0 CHF&quot;"/>
  </numFmts>
  <fonts count="13">
    <font>
      <name val="Calibri"/>
      <family val="2"/>
      <color theme="1"/>
      <sz val="11"/>
      <scheme val="minor"/>
    </font>
    <font>
      <name val="Arial"/>
      <b val="1"/>
      <color rgb="001B5F86"/>
      <sz val="18"/>
    </font>
    <font>
      <name val="Arial"/>
      <i val="1"/>
      <color rgb="00595959"/>
      <sz val="10"/>
    </font>
    <font>
      <name val="Arial"/>
      <b val="1"/>
      <color rgb="001B5F86"/>
      <sz val="12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b val="1"/>
      <color rgb="00171717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1B5F86"/>
      <sz val="10"/>
    </font>
    <font>
      <name val="Arial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E725D"/>
      </patternFill>
    </fill>
    <fill>
      <patternFill patternType="solid">
        <fgColor rgb="001F85BB"/>
      </patternFill>
    </fill>
    <fill>
      <patternFill patternType="solid">
        <fgColor rgb="00171717"/>
      </patternFill>
    </fill>
    <fill>
      <patternFill patternType="solid">
        <fgColor rgb="001B5F86"/>
      </patternFill>
    </fill>
    <fill>
      <patternFill patternType="solid">
        <fgColor rgb="00F3F3F3"/>
      </patternFill>
    </fill>
    <fill>
      <patternFill patternType="solid">
        <fgColor rgb="008E7CC3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 wrapText="1"/>
    </xf>
    <xf numFmtId="165" fontId="6" fillId="0" borderId="1" applyAlignment="1" pivotButton="0" quotePrefix="0" xfId="0">
      <alignment horizontal="right" vertical="center" wrapText="1"/>
    </xf>
    <xf numFmtId="3" fontId="6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164" fontId="6" fillId="7" borderId="1" applyAlignment="1" pivotButton="0" quotePrefix="0" xfId="0">
      <alignment horizontal="right" vertical="center" wrapText="1"/>
    </xf>
    <xf numFmtId="9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5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7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4" fillId="7" borderId="1" applyAlignment="1" pivotButton="0" quotePrefix="0" xfId="0">
      <alignment horizontal="left" vertical="center" wrapText="1"/>
    </xf>
    <xf numFmtId="9" fontId="5" fillId="7" borderId="1" applyAlignment="1" pivotButton="0" quotePrefix="0" xfId="0">
      <alignment horizontal="right" vertical="center" wrapText="1"/>
    </xf>
    <xf numFmtId="0" fontId="1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4" fontId="10" fillId="6" borderId="1" applyAlignment="1" pivotButton="0" quotePrefix="0" xfId="0">
      <alignment horizontal="right" vertical="center" wrapText="1"/>
    </xf>
    <xf numFmtId="9" fontId="10" fillId="6" borderId="1" applyAlignment="1" pivotButton="0" quotePrefix="0" xfId="0">
      <alignment horizontal="right" vertical="center" wrapText="1"/>
    </xf>
    <xf numFmtId="0" fontId="10" fillId="6" borderId="1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Arial"/>
        <b val="1"/>
        <color rgb="00C00000"/>
      </font>
    </dxf>
    <dxf>
      <font>
        <name val="Arial"/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Marketing</author>
  </authors>
  <commentList>
    <comment ref="F9" authorId="0" shapeId="0">
      <text>
        <t>Saisis ici le montant validé par la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0" customWidth="1" min="3" max="3"/>
    <col width="11" customWidth="1" min="4" max="4"/>
    <col width="14" customWidth="1" min="5" max="5"/>
    <col width="15" customWidth="1" min="6" max="6"/>
    <col width="9" customWidth="1" min="7" max="7"/>
    <col width="15" customWidth="1" min="8" max="8"/>
    <col width="15" customWidth="1" min="9" max="9"/>
    <col width="17" customWidth="1" min="10" max="10"/>
    <col width="30" customWidth="1" min="11" max="11"/>
  </cols>
  <sheetData>
    <row r="1" ht="30" customHeight="1">
      <c r="A1" s="1" t="inlineStr">
        <is>
          <t>Budget réseaux sociaux 2027 · L'Annexe by RG</t>
        </is>
      </c>
    </row>
    <row r="2">
      <c r="A2" s="2" t="inlineStr">
        <is>
          <t>Modifie seulement les cellules en bleu (volumes, quantités, coûts) et les cellules jaunes (enveloppe, réel 2026). Tout le reste se calcule tout seul.</t>
        </is>
      </c>
    </row>
    <row r="4">
      <c r="A4" s="3" t="inlineStr">
        <is>
          <t>VOLUME DE PUBLICATIONS</t>
        </is>
      </c>
      <c r="D4" s="3" t="inlineStr">
        <is>
          <t>RÉSUMÉ</t>
        </is>
      </c>
    </row>
    <row r="5">
      <c r="A5" s="4" t="inlineStr">
        <is>
          <t>Semaines de publication par an</t>
        </is>
      </c>
      <c r="B5" s="5" t="n">
        <v>52</v>
      </c>
      <c r="D5" s="6" t="inlineStr">
        <is>
          <t>Total 2027</t>
        </is>
      </c>
      <c r="E5" s="7" t="n"/>
      <c r="F5" s="8">
        <f>F47</f>
        <v/>
      </c>
    </row>
    <row r="6">
      <c r="A6" s="4" t="inlineStr">
        <is>
          <t>Posts par semaine</t>
        </is>
      </c>
      <c r="B6" s="5" t="n">
        <v>2</v>
      </c>
      <c r="D6" s="6" t="inlineStr">
        <is>
          <t>Par mois (moyenne)</t>
        </is>
      </c>
      <c r="E6" s="7" t="n"/>
      <c r="F6" s="8">
        <f>F47/12</f>
        <v/>
      </c>
    </row>
    <row r="7">
      <c r="A7" s="4" t="inlineStr">
        <is>
          <t>Événements L'Annexe par mois</t>
        </is>
      </c>
      <c r="B7" s="5" t="n">
        <v>1</v>
      </c>
      <c r="D7" s="6" t="inlineStr">
        <is>
          <t>Coût moyen par post</t>
        </is>
      </c>
      <c r="E7" s="7" t="n"/>
      <c r="F7" s="9">
        <f>IF(B9=0,0,F47/B9)</f>
        <v/>
      </c>
    </row>
    <row r="8">
      <c r="A8" s="4" t="inlineStr">
        <is>
          <t>Événements partenaires par mois</t>
        </is>
      </c>
      <c r="B8" s="5" t="n">
        <v>1</v>
      </c>
      <c r="D8" s="6" t="inlineStr">
        <is>
          <t>dont publicité</t>
        </is>
      </c>
      <c r="E8" s="7" t="n"/>
      <c r="F8" s="8">
        <f>F21</f>
        <v/>
      </c>
    </row>
    <row r="9">
      <c r="A9" s="6" t="inlineStr">
        <is>
          <t>Total posts par an</t>
        </is>
      </c>
      <c r="B9" s="10">
        <f>B5*B6</f>
        <v/>
      </c>
      <c r="D9" s="6" t="inlineStr">
        <is>
          <t>Enveloppe validée</t>
        </is>
      </c>
      <c r="E9" s="7" t="n"/>
      <c r="F9" s="11" t="n"/>
    </row>
    <row r="10">
      <c r="A10" s="12" t="inlineStr">
        <is>
          <t>dont EVENT (L'Annexe + partenaires)</t>
        </is>
      </c>
      <c r="B10" s="10">
        <f>(B7+B8)*12</f>
        <v/>
      </c>
      <c r="D10" s="6" t="inlineStr">
        <is>
          <t>Écart avec l'enveloppe</t>
        </is>
      </c>
      <c r="E10" s="7" t="n"/>
      <c r="F10" s="13">
        <f>IF(F9="","à compléter",F9-F47)</f>
        <v/>
      </c>
      <c r="G10" s="14">
        <f>IF(F9="","",IF(F9-F47&gt;=0,"✓ ok","⚠ dépassement"))</f>
        <v/>
      </c>
    </row>
    <row r="11">
      <c r="A11" s="15" t="inlineStr">
        <is>
          <t>dont PRODUITS</t>
        </is>
      </c>
      <c r="B11" s="10">
        <f>ROUND((B9-B10)/2,0)</f>
        <v/>
      </c>
    </row>
    <row r="12">
      <c r="A12" s="16" t="inlineStr">
        <is>
          <t>dont TREND</t>
        </is>
      </c>
      <c r="B12" s="10">
        <f>B9-B10-B11</f>
        <v/>
      </c>
    </row>
    <row r="15" ht="28" customHeight="1">
      <c r="A15" s="17" t="inlineStr">
        <is>
          <t>Poste</t>
        </is>
      </c>
      <c r="B15" s="17" t="inlineStr">
        <is>
          <t>Détail / hypothèse</t>
        </is>
      </c>
      <c r="C15" s="17" t="inlineStr">
        <is>
          <t>Quantité</t>
        </is>
      </c>
      <c r="D15" s="17" t="inlineStr">
        <is>
          <t>Unité</t>
        </is>
      </c>
      <c r="E15" s="17" t="inlineStr">
        <is>
          <t>Coût unitaire</t>
        </is>
      </c>
      <c r="F15" s="17" t="inlineStr">
        <is>
          <t>Total 2027</t>
        </is>
      </c>
      <c r="G15" s="17" t="inlineStr">
        <is>
          <t>Part</t>
        </is>
      </c>
      <c r="H15" s="17" t="inlineStr">
        <is>
          <t>Réel 2026</t>
        </is>
      </c>
      <c r="I15" s="17" t="inlineStr">
        <is>
          <t>Écart vs 2026</t>
        </is>
      </c>
      <c r="J15" s="17" t="inlineStr">
        <is>
          <t>Priorité</t>
        </is>
      </c>
      <c r="K15" s="17" t="inlineStr">
        <is>
          <t>Commentaire</t>
        </is>
      </c>
    </row>
    <row r="16" ht="22" customHeight="1">
      <c r="A16" s="15" t="inlineStr">
        <is>
          <t>A. Publicité Instagram (Meta)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</row>
    <row r="17">
      <c r="A17" s="4" t="inlineStr">
        <is>
          <t>Pub continue</t>
        </is>
      </c>
      <c r="B17" s="4" t="inlineStr">
        <is>
          <t>Sur les meilleurs posts PRODUITS et TREND du mois</t>
        </is>
      </c>
      <c r="C17" s="19" t="n">
        <v>12</v>
      </c>
      <c r="D17" s="20" t="inlineStr">
        <is>
          <t>mois</t>
        </is>
      </c>
      <c r="E17" s="21" t="n">
        <v>300</v>
      </c>
      <c r="F17" s="22">
        <f>C17*E17</f>
        <v/>
      </c>
      <c r="G17" s="23">
        <f>IF($F$47=0,0,F17/$F$47)</f>
        <v/>
      </c>
      <c r="H17" s="24" t="n"/>
      <c r="I17" s="22">
        <f>IF(H17="","",F17-H17)</f>
        <v/>
      </c>
      <c r="J17" s="20" t="inlineStr">
        <is>
          <t>🟥 Indispensable</t>
        </is>
      </c>
      <c r="K17" s="4" t="inlineStr"/>
    </row>
    <row r="18">
      <c r="A18" s="4" t="inlineStr">
        <is>
          <t>Promotion des événements L'Annexe</t>
        </is>
      </c>
      <c r="B18" s="4" t="inlineStr">
        <is>
          <t>1 événement par mois : inscriptions + relance</t>
        </is>
      </c>
      <c r="C18" s="19" t="n">
        <v>12</v>
      </c>
      <c r="D18" s="20" t="inlineStr">
        <is>
          <t>événement</t>
        </is>
      </c>
      <c r="E18" s="21" t="n">
        <v>300</v>
      </c>
      <c r="F18" s="22">
        <f>C18*E18</f>
        <v/>
      </c>
      <c r="G18" s="23">
        <f>IF($F$47=0,0,F18/$F$47)</f>
        <v/>
      </c>
      <c r="H18" s="24" t="n"/>
      <c r="I18" s="22">
        <f>IF(H18="","",F18-H18)</f>
        <v/>
      </c>
      <c r="J18" s="20" t="inlineStr">
        <is>
          <t>🟥 Indispensable</t>
        </is>
      </c>
      <c r="K18" s="4" t="inlineStr"/>
    </row>
    <row r="19">
      <c r="A19" s="4" t="inlineStr">
        <is>
          <t>Relais des événements partenaires</t>
        </is>
      </c>
      <c r="B19" s="4" t="inlineStr">
        <is>
          <t>Petit boost du post collab</t>
        </is>
      </c>
      <c r="C19" s="19" t="n">
        <v>12</v>
      </c>
      <c r="D19" s="20" t="inlineStr">
        <is>
          <t>événement</t>
        </is>
      </c>
      <c r="E19" s="21" t="n">
        <v>100</v>
      </c>
      <c r="F19" s="22">
        <f>C19*E19</f>
        <v/>
      </c>
      <c r="G19" s="23">
        <f>IF($F$47=0,0,F19/$F$47)</f>
        <v/>
      </c>
      <c r="H19" s="24" t="n"/>
      <c r="I19" s="22">
        <f>IF(H19="","",F19-H19)</f>
        <v/>
      </c>
      <c r="J19" s="20" t="inlineStr">
        <is>
          <t>🟩 Si budget</t>
        </is>
      </c>
      <c r="K19" s="4" t="inlineStr"/>
    </row>
    <row r="20">
      <c r="A20" s="4" t="inlineStr">
        <is>
          <t>Campagne fin d'année</t>
        </is>
      </c>
      <c r="B20" s="4" t="inlineStr">
        <is>
          <t>Simulateurs, échéance 3a du 31.12</t>
        </is>
      </c>
      <c r="C20" s="19" t="n">
        <v>1</v>
      </c>
      <c r="D20" s="20" t="inlineStr">
        <is>
          <t>campagne</t>
        </is>
      </c>
      <c r="E20" s="21" t="n">
        <v>1500</v>
      </c>
      <c r="F20" s="22">
        <f>C20*E20</f>
        <v/>
      </c>
      <c r="G20" s="23">
        <f>IF($F$47=0,0,F20/$F$47)</f>
        <v/>
      </c>
      <c r="H20" s="24" t="n"/>
      <c r="I20" s="22">
        <f>IF(H20="","",F20-H20)</f>
        <v/>
      </c>
      <c r="J20" s="20" t="inlineStr">
        <is>
          <t>🟥 Indispensable</t>
        </is>
      </c>
      <c r="K20" s="4" t="inlineStr"/>
    </row>
    <row r="21">
      <c r="A21" s="25" t="inlineStr">
        <is>
          <t>Sous-total Publicité Instagram (Meta)</t>
        </is>
      </c>
      <c r="B21" s="26" t="n"/>
      <c r="C21" s="26" t="n"/>
      <c r="D21" s="26" t="n"/>
      <c r="E21" s="26" t="n"/>
      <c r="F21" s="27">
        <f>SUM(F17:F20)</f>
        <v/>
      </c>
      <c r="G21" s="28">
        <f>IF($F$47=0,0,F21/$F$47)</f>
        <v/>
      </c>
      <c r="H21" s="27">
        <f>IF(COUNT(H17:H20)=0,"",SUM(H17:H20))</f>
        <v/>
      </c>
      <c r="I21" s="27">
        <f>IF(H21="","",F21-H21)</f>
        <v/>
      </c>
      <c r="J21" s="29" t="n"/>
      <c r="K21" s="29" t="n"/>
    </row>
    <row r="22"/>
    <row r="23" ht="22" customHeight="1">
      <c r="A23" s="30" t="inlineStr">
        <is>
          <t>B. Production de contenus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</row>
    <row r="24">
      <c r="A24" s="4" t="inlineStr">
        <is>
          <t>Photo / vidéo des événements L'Annexe</t>
        </is>
      </c>
      <c r="B24" s="4" t="inlineStr">
        <is>
          <t>Freelance, demi-journée</t>
        </is>
      </c>
      <c r="C24" s="19" t="n">
        <v>12</v>
      </c>
      <c r="D24" s="20" t="inlineStr">
        <is>
          <t>événement</t>
        </is>
      </c>
      <c r="E24" s="21" t="n">
        <v>350</v>
      </c>
      <c r="F24" s="22">
        <f>C24*E24</f>
        <v/>
      </c>
      <c r="G24" s="23">
        <f>IF($F$47=0,0,F24/$F$47)</f>
        <v/>
      </c>
      <c r="H24" s="24" t="n"/>
      <c r="I24" s="22">
        <f>IF(H24="","",F24-H24)</f>
        <v/>
      </c>
      <c r="J24" s="20" t="inlineStr">
        <is>
          <t>🟧 Important</t>
        </is>
      </c>
      <c r="K24" s="4" t="inlineStr"/>
    </row>
    <row r="25">
      <c r="A25" s="4" t="inlineStr">
        <is>
          <t>Montage de Reels (externe)</t>
        </is>
      </c>
      <c r="B25" s="4" t="inlineStr">
        <is>
          <t>En renfort, pour les Reels TREND les plus travaillés</t>
        </is>
      </c>
      <c r="C25" s="19" t="n">
        <v>20</v>
      </c>
      <c r="D25" s="20" t="inlineStr">
        <is>
          <t>Reel</t>
        </is>
      </c>
      <c r="E25" s="21" t="n">
        <v>80</v>
      </c>
      <c r="F25" s="22">
        <f>C25*E25</f>
        <v/>
      </c>
      <c r="G25" s="23">
        <f>IF($F$47=0,0,F25/$F$47)</f>
        <v/>
      </c>
      <c r="H25" s="24" t="n"/>
      <c r="I25" s="22">
        <f>IF(H25="","",F25-H25)</f>
        <v/>
      </c>
      <c r="J25" s="20" t="inlineStr">
        <is>
          <t>🟩 Si budget</t>
        </is>
      </c>
      <c r="K25" s="4" t="inlineStr"/>
    </row>
    <row r="26">
      <c r="A26" s="4" t="inlineStr">
        <is>
          <t>Banque d'images &amp; musique</t>
        </is>
      </c>
      <c r="B26" s="4" t="inlineStr">
        <is>
          <t>Libres de droits</t>
        </is>
      </c>
      <c r="C26" s="19" t="n">
        <v>1</v>
      </c>
      <c r="D26" s="20" t="inlineStr">
        <is>
          <t>an</t>
        </is>
      </c>
      <c r="E26" s="21" t="n">
        <v>300</v>
      </c>
      <c r="F26" s="22">
        <f>C26*E26</f>
        <v/>
      </c>
      <c r="G26" s="23">
        <f>IF($F$47=0,0,F26/$F$47)</f>
        <v/>
      </c>
      <c r="H26" s="24" t="n"/>
      <c r="I26" s="22">
        <f>IF(H26="","",F26-H26)</f>
        <v/>
      </c>
      <c r="J26" s="20" t="inlineStr">
        <is>
          <t>🟧 Important</t>
        </is>
      </c>
      <c r="K26" s="4" t="inlineStr"/>
    </row>
    <row r="27">
      <c r="A27" s="4" t="inlineStr">
        <is>
          <t>Abonnement IA pour visuels</t>
        </is>
      </c>
      <c r="B27" s="4" t="inlineStr">
        <is>
          <t>Ex. Higgsfield : prix à vérifier selon le plan</t>
        </is>
      </c>
      <c r="C27" s="19" t="n">
        <v>12</v>
      </c>
      <c r="D27" s="20" t="inlineStr">
        <is>
          <t>mois</t>
        </is>
      </c>
      <c r="E27" s="21" t="n">
        <v>30</v>
      </c>
      <c r="F27" s="22">
        <f>C27*E27</f>
        <v/>
      </c>
      <c r="G27" s="23">
        <f>IF($F$47=0,0,F27/$F$47)</f>
        <v/>
      </c>
      <c r="H27" s="24" t="n"/>
      <c r="I27" s="22">
        <f>IF(H27="","",F27-H27)</f>
        <v/>
      </c>
      <c r="J27" s="20" t="inlineStr">
        <is>
          <t>🟩 Si budget</t>
        </is>
      </c>
      <c r="K27" s="4" t="inlineStr"/>
    </row>
    <row r="28">
      <c r="A28" s="25" t="inlineStr">
        <is>
          <t>Sous-total Production de contenus</t>
        </is>
      </c>
      <c r="B28" s="26" t="n"/>
      <c r="C28" s="26" t="n"/>
      <c r="D28" s="26" t="n"/>
      <c r="E28" s="26" t="n"/>
      <c r="F28" s="27">
        <f>SUM(F24:F27)</f>
        <v/>
      </c>
      <c r="G28" s="28">
        <f>IF($F$47=0,0,F28/$F$47)</f>
        <v/>
      </c>
      <c r="H28" s="27">
        <f>IF(COUNT(H24:H27)=0,"",SUM(H24:H27))</f>
        <v/>
      </c>
      <c r="I28" s="27">
        <f>IF(H28="","",F28-H28)</f>
        <v/>
      </c>
      <c r="J28" s="29" t="n"/>
      <c r="K28" s="29" t="n"/>
    </row>
    <row r="29"/>
    <row r="30" ht="22" customHeight="1">
      <c r="A30" s="16" t="inlineStr">
        <is>
          <t>C. Outils</t>
        </is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</row>
    <row r="31">
      <c r="A31" s="4" t="inlineStr">
        <is>
          <t>Outil de création</t>
        </is>
      </c>
      <c r="B31" s="4" t="inlineStr">
        <is>
          <t>Version équipe, templates de la charte</t>
        </is>
      </c>
      <c r="C31" s="19" t="n">
        <v>1</v>
      </c>
      <c r="D31" s="20" t="inlineStr">
        <is>
          <t>an</t>
        </is>
      </c>
      <c r="E31" s="21" t="n">
        <v>400</v>
      </c>
      <c r="F31" s="22">
        <f>C31*E31</f>
        <v/>
      </c>
      <c r="G31" s="23">
        <f>IF($F$47=0,0,F31/$F$47)</f>
        <v/>
      </c>
      <c r="H31" s="24" t="n"/>
      <c r="I31" s="22">
        <f>IF(H31="","",F31-H31)</f>
        <v/>
      </c>
      <c r="J31" s="20" t="inlineStr">
        <is>
          <t>🟥 Indispensable</t>
        </is>
      </c>
      <c r="K31" s="4" t="inlineStr"/>
    </row>
    <row r="32">
      <c r="A32" s="4" t="inlineStr">
        <is>
          <t>Outil de planification &amp; statistiques</t>
        </is>
      </c>
      <c r="B32" s="4" t="inlineStr">
        <is>
          <t>Programmation + rapports</t>
        </is>
      </c>
      <c r="C32" s="19" t="n">
        <v>1</v>
      </c>
      <c r="D32" s="20" t="inlineStr">
        <is>
          <t>an</t>
        </is>
      </c>
      <c r="E32" s="21" t="n">
        <v>300</v>
      </c>
      <c r="F32" s="22">
        <f>C32*E32</f>
        <v/>
      </c>
      <c r="G32" s="23">
        <f>IF($F$47=0,0,F32/$F$47)</f>
        <v/>
      </c>
      <c r="H32" s="24" t="n"/>
      <c r="I32" s="22">
        <f>IF(H32="","",F32-H32)</f>
        <v/>
      </c>
      <c r="J32" s="20" t="inlineStr">
        <is>
          <t>🟧 Important</t>
        </is>
      </c>
      <c r="K32" s="4" t="inlineStr"/>
    </row>
    <row r="33">
      <c r="A33" s="4" t="inlineStr">
        <is>
          <t>Application de montage vidéo</t>
        </is>
      </c>
      <c r="B33" s="4" t="inlineStr">
        <is>
          <t>Version pro</t>
        </is>
      </c>
      <c r="C33" s="19" t="n">
        <v>1</v>
      </c>
      <c r="D33" s="20" t="inlineStr">
        <is>
          <t>an</t>
        </is>
      </c>
      <c r="E33" s="21" t="n">
        <v>120</v>
      </c>
      <c r="F33" s="22">
        <f>C33*E33</f>
        <v/>
      </c>
      <c r="G33" s="23">
        <f>IF($F$47=0,0,F33/$F$47)</f>
        <v/>
      </c>
      <c r="H33" s="24" t="n"/>
      <c r="I33" s="22">
        <f>IF(H33="","",F33-H33)</f>
        <v/>
      </c>
      <c r="J33" s="20" t="inlineStr">
        <is>
          <t>🟩 Si budget</t>
        </is>
      </c>
      <c r="K33" s="4" t="inlineStr"/>
    </row>
    <row r="34">
      <c r="A34" s="25" t="inlineStr">
        <is>
          <t>Sous-total Outils</t>
        </is>
      </c>
      <c r="B34" s="26" t="n"/>
      <c r="C34" s="26" t="n"/>
      <c r="D34" s="26" t="n"/>
      <c r="E34" s="26" t="n"/>
      <c r="F34" s="27">
        <f>SUM(F31:F33)</f>
        <v/>
      </c>
      <c r="G34" s="28">
        <f>IF($F$47=0,0,F34/$F$47)</f>
        <v/>
      </c>
      <c r="H34" s="27">
        <f>IF(COUNT(H31:H33)=0,"",SUM(H31:H33))</f>
        <v/>
      </c>
      <c r="I34" s="27">
        <f>IF(H34="","",F34-H34)</f>
        <v/>
      </c>
      <c r="J34" s="29" t="n"/>
      <c r="K34" s="29" t="n"/>
    </row>
    <row r="35"/>
    <row r="36" ht="22" customHeight="1">
      <c r="A36" s="33" t="inlineStr">
        <is>
          <t>D. Influence &amp; partenariats</t>
        </is>
      </c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</row>
    <row r="37">
      <c r="A37" s="4" t="inlineStr">
        <is>
          <t>Micro-influenceurs genevois</t>
        </is>
      </c>
      <c r="B37" s="4" t="inlineStr">
        <is>
          <t>Collaborations ponctuelles</t>
        </is>
      </c>
      <c r="C37" s="19" t="n">
        <v>6</v>
      </c>
      <c r="D37" s="20" t="inlineStr">
        <is>
          <t>collab.</t>
        </is>
      </c>
      <c r="E37" s="21" t="n">
        <v>400</v>
      </c>
      <c r="F37" s="22">
        <f>C37*E37</f>
        <v/>
      </c>
      <c r="G37" s="23">
        <f>IF($F$47=0,0,F37/$F$47)</f>
        <v/>
      </c>
      <c r="H37" s="24" t="n"/>
      <c r="I37" s="22">
        <f>IF(H37="","",F37-H37)</f>
        <v/>
      </c>
      <c r="J37" s="20" t="inlineStr">
        <is>
          <t>🟧 Important</t>
        </is>
      </c>
      <c r="K37" s="4" t="inlineStr"/>
    </row>
    <row r="38">
      <c r="A38" s="4" t="inlineStr">
        <is>
          <t>Posts collab avec les partenaires</t>
        </is>
      </c>
      <c r="B38" s="4" t="inlineStr">
        <is>
          <t>Échange de visibilité, sans coût</t>
        </is>
      </c>
      <c r="C38" s="19" t="n">
        <v>12</v>
      </c>
      <c r="D38" s="20" t="inlineStr">
        <is>
          <t>post</t>
        </is>
      </c>
      <c r="E38" s="21" t="n">
        <v>0</v>
      </c>
      <c r="F38" s="22">
        <f>C38*E38</f>
        <v/>
      </c>
      <c r="G38" s="23">
        <f>IF($F$47=0,0,F38/$F$47)</f>
        <v/>
      </c>
      <c r="H38" s="24" t="n"/>
      <c r="I38" s="22">
        <f>IF(H38="","",F38-H38)</f>
        <v/>
      </c>
      <c r="J38" s="20" t="inlineStr">
        <is>
          <t>🟥 Indispensable</t>
        </is>
      </c>
      <c r="K38" s="4" t="inlineStr"/>
    </row>
    <row r="39">
      <c r="A39" s="25" t="inlineStr">
        <is>
          <t>Sous-total Influence &amp; partenariats</t>
        </is>
      </c>
      <c r="B39" s="26" t="n"/>
      <c r="C39" s="26" t="n"/>
      <c r="D39" s="26" t="n"/>
      <c r="E39" s="26" t="n"/>
      <c r="F39" s="27">
        <f>SUM(F37:F38)</f>
        <v/>
      </c>
      <c r="G39" s="28">
        <f>IF($F$47=0,0,F39/$F$47)</f>
        <v/>
      </c>
      <c r="H39" s="27">
        <f>IF(COUNT(H37:H38)=0,"",SUM(H37:H38))</f>
        <v/>
      </c>
      <c r="I39" s="27">
        <f>IF(H39="","",F39-H39)</f>
        <v/>
      </c>
      <c r="J39" s="29" t="n"/>
      <c r="K39" s="29" t="n"/>
    </row>
    <row r="40"/>
    <row r="41" ht="22" customHeight="1">
      <c r="A41" s="35" t="inlineStr">
        <is>
          <t>E. Formation</t>
        </is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</row>
    <row r="42">
      <c r="A42" s="4" t="inlineStr">
        <is>
          <t>Formation pub Meta + mise en place du suivi</t>
        </is>
      </c>
      <c r="B42" s="4" t="inlineStr">
        <is>
          <t>Pixel, liens de suivi, une seule fois</t>
        </is>
      </c>
      <c r="C42" s="19" t="n">
        <v>1</v>
      </c>
      <c r="D42" s="20" t="inlineStr">
        <is>
          <t>forfait</t>
        </is>
      </c>
      <c r="E42" s="21" t="n">
        <v>1500</v>
      </c>
      <c r="F42" s="22">
        <f>C42*E42</f>
        <v/>
      </c>
      <c r="G42" s="23">
        <f>IF($F$47=0,0,F42/$F$47)</f>
        <v/>
      </c>
      <c r="H42" s="24" t="n"/>
      <c r="I42" s="22">
        <f>IF(H42="","",F42-H42)</f>
        <v/>
      </c>
      <c r="J42" s="20" t="inlineStr">
        <is>
          <t>🟧 Important</t>
        </is>
      </c>
      <c r="K42" s="4" t="inlineStr"/>
    </row>
    <row r="43">
      <c r="A43" s="25" t="inlineStr">
        <is>
          <t>Sous-total Formation</t>
        </is>
      </c>
      <c r="B43" s="26" t="n"/>
      <c r="C43" s="26" t="n"/>
      <c r="D43" s="26" t="n"/>
      <c r="E43" s="26" t="n"/>
      <c r="F43" s="27">
        <f>SUM(F42:F42)</f>
        <v/>
      </c>
      <c r="G43" s="28">
        <f>IF($F$47=0,0,F43/$F$47)</f>
        <v/>
      </c>
      <c r="H43" s="27">
        <f>IF(COUNT(H42:H42)=0,"",SUM(H42:H42))</f>
        <v/>
      </c>
      <c r="I43" s="27">
        <f>IF(H43="","",F43-H43)</f>
        <v/>
      </c>
      <c r="J43" s="29" t="n"/>
      <c r="K43" s="29" t="n"/>
    </row>
    <row r="44"/>
    <row r="45">
      <c r="A45" s="25" t="inlineStr">
        <is>
          <t>F. Réserve pour tests (5 %)</t>
        </is>
      </c>
      <c r="B45" s="37" t="inlineStr">
        <is>
          <t>Nouveau format, opportunité, boost d'un post qui marche</t>
        </is>
      </c>
      <c r="C45" s="26" t="n"/>
      <c r="D45" s="26" t="n"/>
      <c r="E45" s="38" t="n">
        <v>0.05</v>
      </c>
      <c r="F45" s="27">
        <f>ROUND((F21+F28+F34+F39+F43)*E45,-1)</f>
        <v/>
      </c>
      <c r="G45" s="28">
        <f>IF($F$47=0,0,F45/$F$47)</f>
        <v/>
      </c>
      <c r="H45" s="26" t="n"/>
      <c r="I45" s="26" t="n"/>
      <c r="J45" s="26" t="n"/>
      <c r="K45" s="26" t="n"/>
    </row>
    <row r="46"/>
    <row r="47" ht="24" customHeight="1">
      <c r="A47" s="39" t="inlineStr">
        <is>
          <t>TOTAL 2027</t>
        </is>
      </c>
      <c r="B47" s="40" t="n"/>
      <c r="C47" s="40" t="n"/>
      <c r="D47" s="40" t="n"/>
      <c r="E47" s="40" t="n"/>
      <c r="F47" s="41">
        <f>F21+F28+F34+F39+F43+F45</f>
        <v/>
      </c>
      <c r="G47" s="42">
        <f>IF(F47=0,0,1)</f>
        <v/>
      </c>
      <c r="H47" s="41">
        <f>IF(COUNT(H21,H28,H34,H39,H43)=0,"",SUM(H21,H28,H34,H39,H43))</f>
        <v/>
      </c>
      <c r="I47" s="41">
        <f>IF(H47="","",F47-H47)</f>
        <v/>
      </c>
      <c r="J47" s="43" t="n"/>
      <c r="K47" s="43" t="n"/>
    </row>
    <row r="49">
      <c r="A49" s="44" t="inlineStr">
        <is>
          <t>À savoir</t>
        </is>
      </c>
    </row>
    <row r="50">
      <c r="A50" s="45" t="inlineStr">
        <is>
          <t>• Ce budget couvre uniquement les réseaux sociaux. Les frais des événements (intervenants, traiteur, technique) sont dans le budget événementiel.</t>
        </is>
      </c>
    </row>
    <row r="51">
      <c r="A51" s="45" t="inlineStr">
        <is>
          <t>• Les coûts unitaires sont des estimations : à confirmer par des devis et sur les sites des outils (prix des abonnements, notamment l'IA).</t>
        </is>
      </c>
    </row>
    <row r="52">
      <c r="A52" s="45" t="inlineStr">
        <is>
          <t>• Les posts partenaires sont publiés en « collab » (co-auteur) : ils apparaissent sur les deux comptes, sans coût.</t>
        </is>
      </c>
    </row>
    <row r="53">
      <c r="A53" s="45" t="inlineStr">
        <is>
          <t>• Pour réduire le budget, commence par les lignes « 🟩 Si budget ».</t>
        </is>
      </c>
    </row>
  </sheetData>
  <conditionalFormatting sqref="G10">
    <cfRule type="expression" priority="1" dxfId="0">
      <formula>AND(ISNUMBER($F$10),$F$10&lt;0)</formula>
    </cfRule>
    <cfRule type="expression" priority="2" dxfId="1">
      <formula>AND(ISNUMBER($F$10),$F$10&gt;=0)</formula>
    </cfRule>
  </conditionalFormatting>
  <dataValidations count="1">
    <dataValidation sqref="J17 J18 J19 J20 J24 J25 J26 J27 J31 J32 J33 J37 J38 J42" showDropDown="0" showInputMessage="0" showErrorMessage="0" allowBlank="1" type="list">
      <formula1>"🟥 Indispensable,🟧 Important,🟩 Si budget"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2026-10-05T13:44:23Z</dcterms:created>
  <dcterms:modified xsi:type="dcterms:W3CDTF">2026-10-05T13:44:23Z</dcterms:modified>
</cp:coreProperties>
</file>