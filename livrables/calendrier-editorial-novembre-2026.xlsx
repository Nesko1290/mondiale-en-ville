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embre 2026" sheetId="1" state="visible" r:id="rId1"/>
  </sheets>
  <definedNames>
    <definedName name="_xlnm._FilterDatabase" localSheetId="0" hidden="1">'Novembre 2026'!$A$15:$P$40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;-#,##0;&quot;–&quot;"/>
    <numFmt numFmtId="167" formatCode="#,##0 &quot;CHF&quot;"/>
  </numFmts>
  <fonts count="12">
    <font>
      <name val="Calibri"/>
      <family val="2"/>
      <color theme="1"/>
      <sz val="11"/>
      <scheme val="minor"/>
    </font>
    <font>
      <name val="Arial"/>
      <b val="1"/>
      <color rgb="001B5F86"/>
      <sz val="18"/>
    </font>
    <font>
      <name val="Arial"/>
      <i val="1"/>
      <color rgb="00595959"/>
      <sz val="10"/>
    </font>
    <font>
      <name val="Arial"/>
      <b val="1"/>
      <color rgb="00595959"/>
      <sz val="10"/>
    </font>
    <font>
      <name val="Arial"/>
      <b val="1"/>
      <color rgb="00FFFFFF"/>
      <sz val="10"/>
    </font>
    <font>
      <name val="Arial"/>
      <color rgb="00595959"/>
      <sz val="10"/>
    </font>
    <font>
      <name val="Arial"/>
      <b val="1"/>
      <color rgb="00171717"/>
      <sz val="10"/>
    </font>
    <font>
      <name val="Arial"/>
      <b val="1"/>
      <color rgb="001B5F86"/>
      <sz val="12"/>
    </font>
    <font>
      <name val="Arial"/>
      <b val="1"/>
      <color rgb="001B5F86"/>
      <sz val="11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85BB"/>
      </patternFill>
    </fill>
    <fill>
      <patternFill patternType="solid">
        <fgColor rgb="00EE725D"/>
      </patternFill>
    </fill>
    <fill>
      <patternFill patternType="solid">
        <fgColor rgb="00171717"/>
      </patternFill>
    </fill>
    <fill>
      <patternFill patternType="solid">
        <fgColor rgb="001B5F86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8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 wrapText="1" indent="1"/>
    </xf>
    <xf numFmtId="0" fontId="0" fillId="2" borderId="1" pivotButton="0" quotePrefix="0" xfId="0"/>
    <xf numFmtId="0" fontId="6" fillId="3" borderId="1" applyAlignment="1" pivotButton="0" quotePrefix="0" xfId="0">
      <alignment vertical="center" wrapText="1" indent="1"/>
    </xf>
    <xf numFmtId="0" fontId="0" fillId="3" borderId="1" pivotButton="0" quotePrefix="0" xfId="0"/>
    <xf numFmtId="0" fontId="4" fillId="4" borderId="1" applyAlignment="1" pivotButton="0" quotePrefix="0" xfId="0">
      <alignment vertical="center" wrapText="1" inden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166" fontId="9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166" fontId="9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dxfs count="7">
    <dxf>
      <font>
        <name val="Arial"/>
        <b val="1"/>
        <color rgb="00FFFFFF"/>
      </font>
      <fill>
        <patternFill patternType="solid">
          <fgColor rgb="001F85BB"/>
        </patternFill>
      </fill>
    </dxf>
    <dxf>
      <font>
        <name val="Arial"/>
        <b val="1"/>
        <color rgb="00171717"/>
      </font>
      <fill>
        <patternFill patternType="solid">
          <fgColor rgb="00EE725D"/>
        </patternFill>
      </fill>
    </dxf>
    <dxf>
      <font>
        <name val="Arial"/>
        <b val="1"/>
        <color rgb="00FFFFFF"/>
      </font>
      <fill>
        <patternFill patternType="solid">
          <fgColor rgb="0017171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9" customWidth="1" min="4" max="4"/>
    <col width="13" customWidth="1" min="5" max="5"/>
    <col width="14" customWidth="1" min="6" max="6"/>
    <col width="38" customWidth="1" min="7" max="7"/>
    <col width="46" customWidth="1" min="8" max="8"/>
    <col width="26" customWidth="1" min="9" max="9"/>
    <col width="22" customWidth="1" min="10" max="10"/>
    <col width="30" customWidth="1" min="11" max="11"/>
    <col width="12" customWidth="1" min="12" max="12"/>
    <col width="15" customWidth="1" min="13" max="13"/>
    <col width="14" customWidth="1" min="14" max="14"/>
    <col width="14" customWidth="1" min="15" max="15"/>
    <col width="30" customWidth="1" min="16" max="16"/>
  </cols>
  <sheetData>
    <row r="1" ht="30" customHeight="1">
      <c r="A1" s="1" t="inlineStr">
        <is>
          <t>Calendrier éditorial Instagram · L'Annexe by RG · Novembre 2026</t>
        </is>
      </c>
    </row>
    <row r="2">
      <c r="A2" s="2" t="inlineStr">
        <is>
          <t>Règle : 2 posts par semaine (mardi et jeudi, 12h15), piliers en alternance · chaque mois : 2 EVENT (1 événement L'Annexe + 1 événement partenaire), le reste en PRODUITS et TREND · Fil rouge de novembre : versement 3a avant le 31.12</t>
        </is>
      </c>
    </row>
    <row r="4" ht="22" customHeight="1">
      <c r="A4" s="3" t="inlineStr">
        <is>
          <t>LÉGENDE</t>
        </is>
      </c>
      <c r="B4" s="4" t="inlineStr">
        <is>
          <t>PRODUITS</t>
        </is>
      </c>
      <c r="D4" s="5">
        <f>COUNTIF($E$16:$E$40,"PRODUITS")&amp;" posts"</f>
        <v/>
      </c>
      <c r="F4" s="6" t="inlineStr">
        <is>
          <t>EVENT</t>
        </is>
      </c>
      <c r="H4" s="5">
        <f>COUNTIF($E$16:$E$40,"EVENT")&amp;" posts"</f>
        <v/>
      </c>
      <c r="J4" s="7" t="inlineStr">
        <is>
          <t>TREND</t>
        </is>
      </c>
      <c r="L4" s="5">
        <f>COUNTIF($E$16:$E$40,"TREND")&amp;" posts"</f>
        <v/>
      </c>
    </row>
    <row r="6">
      <c r="A6" s="8" t="inlineStr">
        <is>
          <t>VUE DU MOIS</t>
        </is>
      </c>
    </row>
    <row r="7">
      <c r="A7" s="9" t="inlineStr">
        <is>
          <t>Sem.</t>
        </is>
      </c>
      <c r="B7" s="9" t="inlineStr">
        <is>
          <t>Mardi</t>
        </is>
      </c>
      <c r="C7" s="10" t="n"/>
      <c r="D7" s="10" t="n"/>
      <c r="E7" s="10" t="n"/>
      <c r="F7" s="10" t="n"/>
      <c r="G7" s="9" t="inlineStr">
        <is>
          <t>Jeudi</t>
        </is>
      </c>
      <c r="H7" s="10" t="n"/>
      <c r="I7" s="10" t="n"/>
      <c r="J7" s="10" t="n"/>
      <c r="K7" s="10" t="n"/>
    </row>
    <row r="8" ht="46" customHeight="1">
      <c r="A8" s="11" t="inlineStr">
        <is>
          <t>S1</t>
        </is>
      </c>
      <c r="B8" s="12" t="inlineStr">
        <is>
          <t>03.11 · PRODUITS · Carrousel (4 slides)
Taux fixe ou taux variable ? Ton 3a expliqué en 4 slides.</t>
        </is>
      </c>
      <c r="C8" s="13" t="n"/>
      <c r="D8" s="13" t="n"/>
      <c r="E8" s="13" t="n"/>
      <c r="F8" s="13" t="n"/>
      <c r="G8" s="14" t="inlineStr">
        <is>
          <t>05.11 · EVENT · Post
Événement L'Annexe · [titre de l'événement de novembre]</t>
        </is>
      </c>
      <c r="H8" s="15" t="n"/>
      <c r="I8" s="15" t="n"/>
      <c r="J8" s="15" t="n"/>
      <c r="K8" s="15" t="n"/>
    </row>
    <row r="9" ht="46" customHeight="1">
      <c r="A9" s="11" t="inlineStr">
        <is>
          <t>S2</t>
        </is>
      </c>
      <c r="B9" s="16" t="inlineStr">
        <is>
          <t>10.11 · TREND · Reel
POV : tu découvres que ton 3a se déduit de tes impôts</t>
        </is>
      </c>
      <c r="C9" s="17" t="n"/>
      <c r="D9" s="17" t="n"/>
      <c r="E9" s="17" t="n"/>
      <c r="F9" s="17" t="n"/>
      <c r="G9" s="12" t="inlineStr">
        <is>
          <t>12.11 · PRODUITS · Reel
Combien tu économiserais d'impôts avec ton 3a ? On fait le test.</t>
        </is>
      </c>
      <c r="H9" s="13" t="n"/>
      <c r="I9" s="13" t="n"/>
      <c r="J9" s="13" t="n"/>
      <c r="K9" s="13" t="n"/>
    </row>
    <row r="10" ht="46" customHeight="1">
      <c r="A10" s="11" t="inlineStr">
        <is>
          <t>S3</t>
        </is>
      </c>
      <c r="B10" s="14" t="inlineStr">
        <is>
          <t>17.11 · EVENT · Post collab (co-auteur)
Événement partenaire · [nom du partenaire] × L'Annexe : [événement]</t>
        </is>
      </c>
      <c r="C10" s="15" t="n"/>
      <c r="D10" s="15" t="n"/>
      <c r="E10" s="15" t="n"/>
      <c r="F10" s="15" t="n"/>
      <c r="G10" s="16" t="inlineStr">
        <is>
          <t>19.11 · TREND · Reel
Ce que j'aurais aimé savoir sur l'argent à 25 ans</t>
        </is>
      </c>
      <c r="H10" s="17" t="n"/>
      <c r="I10" s="17" t="n"/>
      <c r="J10" s="17" t="n"/>
      <c r="K10" s="17" t="n"/>
    </row>
    <row r="11" ht="46" customHeight="1">
      <c r="A11" s="11" t="inlineStr">
        <is>
          <t>S4</t>
        </is>
      </c>
      <c r="B11" s="12" t="inlineStr">
        <is>
          <t>24.11 · PRODUITS · Carrousel
31 décembre : ce qu'il faut faire avant la fin d'année pour ton 3a</t>
        </is>
      </c>
      <c r="C11" s="13" t="n"/>
      <c r="D11" s="13" t="n"/>
      <c r="E11" s="13" t="n"/>
      <c r="F11" s="13" t="n"/>
      <c r="G11" s="16" t="inlineStr">
        <is>
          <t>26.11 · TREND · Reel
Dis-moi que tu es freelance sans me dire que tu es freelance</t>
        </is>
      </c>
      <c r="H11" s="17" t="n"/>
      <c r="I11" s="17" t="n"/>
      <c r="J11" s="17" t="n"/>
      <c r="K11" s="17" t="n"/>
    </row>
    <row r="13">
      <c r="A13" s="8" t="inlineStr">
        <is>
          <t>DÉTAIL DES PUBLICATIONS</t>
        </is>
      </c>
    </row>
    <row r="15" ht="30" customHeight="1">
      <c r="A15" s="18" t="inlineStr">
        <is>
          <t>N°</t>
        </is>
      </c>
      <c r="B15" s="18" t="inlineStr">
        <is>
          <t>Date</t>
        </is>
      </c>
      <c r="C15" s="18" t="inlineStr">
        <is>
          <t>Jour</t>
        </is>
      </c>
      <c r="D15" s="18" t="inlineStr">
        <is>
          <t>Semaine</t>
        </is>
      </c>
      <c r="E15" s="18" t="inlineStr">
        <is>
          <t>Pilier</t>
        </is>
      </c>
      <c r="F15" s="18" t="inlineStr">
        <is>
          <t>Format</t>
        </is>
      </c>
      <c r="G15" s="18" t="inlineStr">
        <is>
          <t>Titre / accroche</t>
        </is>
      </c>
      <c r="H15" s="18" t="inlineStr">
        <is>
          <t>Contenu</t>
        </is>
      </c>
      <c r="I15" s="18" t="inlineStr">
        <is>
          <t>Call-to-action</t>
        </is>
      </c>
      <c r="J15" s="18" t="inlineStr">
        <is>
          <t>Template (canevas)</t>
        </is>
      </c>
      <c r="K15" s="18" t="inlineStr">
        <is>
          <t>Story associée</t>
        </is>
      </c>
      <c r="L15" s="18" t="inlineStr">
        <is>
          <t>Pub (CHF)</t>
        </is>
      </c>
      <c r="M15" s="18" t="inlineStr">
        <is>
          <t>Statut</t>
        </is>
      </c>
      <c r="N15" s="18" t="inlineStr">
        <is>
          <t>Responsable</t>
        </is>
      </c>
      <c r="O15" s="18" t="inlineStr">
        <is>
          <t>Conformité</t>
        </is>
      </c>
      <c r="P15" s="18" t="inlineStr">
        <is>
          <t>Notes / lien visuel</t>
        </is>
      </c>
    </row>
    <row r="16" ht="42" customHeight="1">
      <c r="A16" s="19">
        <f>IF(G16="","",ROW()-15)</f>
        <v/>
      </c>
      <c r="B16" s="20" t="n">
        <v>46329</v>
      </c>
      <c r="C16" s="19" t="inlineStr">
        <is>
          <t>Mardi</t>
        </is>
      </c>
      <c r="D16" s="19" t="inlineStr">
        <is>
          <t>S1</t>
        </is>
      </c>
      <c r="E16" s="21" t="inlineStr">
        <is>
          <t>PRODUITS</t>
        </is>
      </c>
      <c r="F16" s="22" t="inlineStr">
        <is>
          <t>Carrousel (4 slides)</t>
        </is>
      </c>
      <c r="G16" s="23" t="inlineStr">
        <is>
          <t>Taux fixe ou taux variable ? Ton 3a expliqué en 4 slides.</t>
        </is>
      </c>
      <c r="H16" s="22" t="inlineStr">
        <is>
          <t>Les 2 options du 3e pilier A · pour qui chacune · capital ou rente à vie.</t>
        </is>
      </c>
      <c r="I16" s="22" t="inlineStr">
        <is>
          <t>Enregistre ce post pour plus tard</t>
        </is>
      </c>
      <c r="J16" s="22" t="inlineStr">
        <is>
          <t>Post 2 (couverture) + Post 3 (slides)</t>
        </is>
      </c>
      <c r="K16" s="22" t="inlineStr">
        <is>
          <t>Relais du post + sondage « Tu connaissais ? »</t>
        </is>
      </c>
      <c r="L16" s="24" t="n">
        <v>0</v>
      </c>
      <c r="M16" s="19" t="inlineStr">
        <is>
          <t>À préparer</t>
        </is>
      </c>
      <c r="N16" s="22" t="inlineStr"/>
      <c r="O16" s="19" t="inlineStr">
        <is>
          <t>À faire</t>
        </is>
      </c>
      <c r="P16" s="22" t="inlineStr"/>
    </row>
    <row r="17" ht="42" customHeight="1">
      <c r="A17" s="25">
        <f>IF(G17="","",ROW()-15)</f>
        <v/>
      </c>
      <c r="B17" s="26" t="n">
        <v>46331</v>
      </c>
      <c r="C17" s="25" t="inlineStr">
        <is>
          <t>Jeudi</t>
        </is>
      </c>
      <c r="D17" s="25" t="inlineStr">
        <is>
          <t>S1</t>
        </is>
      </c>
      <c r="E17" s="27" t="inlineStr">
        <is>
          <t>EVENT</t>
        </is>
      </c>
      <c r="F17" s="28" t="inlineStr">
        <is>
          <t>Post</t>
        </is>
      </c>
      <c r="G17" s="29" t="inlineStr">
        <is>
          <t>Événement L'Annexe · [titre de l'événement de novembre]</t>
        </is>
      </c>
      <c r="H17" s="28" t="inlineStr">
        <is>
          <t>Date · intervenant·e · horaire · gratuit · places limitées. Récap en stories le jour J.</t>
        </is>
      </c>
      <c r="I17" s="28" t="inlineStr">
        <is>
          <t>Réserve ta place (lien en bio)</t>
        </is>
      </c>
      <c r="J17" s="28" t="inlineStr">
        <is>
          <t>Post 1 (Événement)</t>
        </is>
      </c>
      <c r="K17" s="28" t="inlineStr">
        <is>
          <t>Relais + sticker « Rappel » + compte à rebours J-5</t>
        </is>
      </c>
      <c r="L17" s="30" t="n">
        <v>300</v>
      </c>
      <c r="M17" s="25" t="inlineStr">
        <is>
          <t>À préparer</t>
        </is>
      </c>
      <c r="N17" s="28" t="inlineStr"/>
      <c r="O17" s="25" t="inlineStr">
        <is>
          <t>À faire</t>
        </is>
      </c>
      <c r="P17" s="28" t="inlineStr"/>
    </row>
    <row r="18" ht="42" customHeight="1">
      <c r="A18" s="19">
        <f>IF(G18="","",ROW()-15)</f>
        <v/>
      </c>
      <c r="B18" s="20" t="n">
        <v>46336</v>
      </c>
      <c r="C18" s="19" t="inlineStr">
        <is>
          <t>Mardi</t>
        </is>
      </c>
      <c r="D18" s="19" t="inlineStr">
        <is>
          <t>S2</t>
        </is>
      </c>
      <c r="E18" s="21" t="inlineStr">
        <is>
          <t>TREND</t>
        </is>
      </c>
      <c r="F18" s="22" t="inlineStr">
        <is>
          <t>Reel</t>
        </is>
      </c>
      <c r="G18" s="23" t="inlineStr">
        <is>
          <t>POV : tu découvres que ton 3a se déduit de tes impôts</t>
        </is>
      </c>
      <c r="H18" s="22" t="inlineStr">
        <is>
          <t>Réaction filmée à L'Annexe sur un son tendance du moment.</t>
        </is>
      </c>
      <c r="I18" s="22" t="inlineStr">
        <is>
          <t>Tague la personne qui ne le sait pas encore</t>
        </is>
      </c>
      <c r="J18" s="22" t="inlineStr">
        <is>
          <t>Couverture Reel (version Photo)</t>
        </is>
      </c>
      <c r="K18" s="22" t="inlineStr">
        <is>
          <t>Repost du Reel</t>
        </is>
      </c>
      <c r="L18" s="24" t="n">
        <v>0</v>
      </c>
      <c r="M18" s="19" t="inlineStr">
        <is>
          <t>À préparer</t>
        </is>
      </c>
      <c r="N18" s="22" t="inlineStr"/>
      <c r="O18" s="19" t="inlineStr">
        <is>
          <t>Non requis</t>
        </is>
      </c>
      <c r="P18" s="22" t="inlineStr"/>
    </row>
    <row r="19" ht="42" customHeight="1">
      <c r="A19" s="25">
        <f>IF(G19="","",ROW()-15)</f>
        <v/>
      </c>
      <c r="B19" s="26" t="n">
        <v>46338</v>
      </c>
      <c r="C19" s="25" t="inlineStr">
        <is>
          <t>Jeudi</t>
        </is>
      </c>
      <c r="D19" s="25" t="inlineStr">
        <is>
          <t>S2</t>
        </is>
      </c>
      <c r="E19" s="27" t="inlineStr">
        <is>
          <t>PRODUITS</t>
        </is>
      </c>
      <c r="F19" s="28" t="inlineStr">
        <is>
          <t>Reel</t>
        </is>
      </c>
      <c r="G19" s="29" t="inlineStr">
        <is>
          <t>Combien tu économiserais d'impôts avec ton 3a ? On fait le test.</t>
        </is>
      </c>
      <c r="H19" s="28" t="inlineStr">
        <is>
          <t>Une personne de l'équipe remplit le simulateur à l'écran (sans montant personnel).</t>
        </is>
      </c>
      <c r="I19" s="28" t="inlineStr">
        <is>
          <t>Fais le test (lien en bio)</t>
        </is>
      </c>
      <c r="J19" s="28" t="inlineStr">
        <is>
          <t>Couverture Reel (Prévoyance)</t>
        </is>
      </c>
      <c r="K19" s="28" t="inlineStr">
        <is>
          <t>Conversation Léa &amp; Sam + lien simulateur</t>
        </is>
      </c>
      <c r="L19" s="30" t="n">
        <v>150</v>
      </c>
      <c r="M19" s="25" t="inlineStr">
        <is>
          <t>À préparer</t>
        </is>
      </c>
      <c r="N19" s="28" t="inlineStr"/>
      <c r="O19" s="25" t="inlineStr">
        <is>
          <t>À faire</t>
        </is>
      </c>
      <c r="P19" s="28" t="inlineStr"/>
    </row>
    <row r="20" ht="42" customHeight="1">
      <c r="A20" s="19">
        <f>IF(G20="","",ROW()-15)</f>
        <v/>
      </c>
      <c r="B20" s="20" t="n">
        <v>46343</v>
      </c>
      <c r="C20" s="19" t="inlineStr">
        <is>
          <t>Mardi</t>
        </is>
      </c>
      <c r="D20" s="19" t="inlineStr">
        <is>
          <t>S3</t>
        </is>
      </c>
      <c r="E20" s="21" t="inlineStr">
        <is>
          <t>EVENT</t>
        </is>
      </c>
      <c r="F20" s="22" t="inlineStr">
        <is>
          <t>Post collab (co-auteur)</t>
        </is>
      </c>
      <c r="G20" s="23" t="inlineStr">
        <is>
          <t>Événement partenaire · [nom du partenaire] × L'Annexe : [événement]</t>
        </is>
      </c>
      <c r="H20" s="22" t="inlineStr">
        <is>
          <t>Post publié en collaboration avec le partenaire (apparaît sur les 2 comptes) : date, lieu, ce qu'on y fait.</t>
        </is>
      </c>
      <c r="I20" s="22" t="inlineStr">
        <is>
          <t>Inscris-toi (lien du partenaire)</t>
        </is>
      </c>
      <c r="J20" s="22" t="inlineStr">
        <is>
          <t>Post 1 (Événement), logos des 2 marques</t>
        </is>
      </c>
      <c r="K20" s="22" t="inlineStr">
        <is>
          <t>Repost des stories du partenaire</t>
        </is>
      </c>
      <c r="L20" s="24" t="n">
        <v>100</v>
      </c>
      <c r="M20" s="19" t="inlineStr">
        <is>
          <t>À préparer</t>
        </is>
      </c>
      <c r="N20" s="22" t="inlineStr"/>
      <c r="O20" s="19" t="inlineStr">
        <is>
          <t>À faire</t>
        </is>
      </c>
      <c r="P20" s="22" t="inlineStr"/>
    </row>
    <row r="21" ht="42" customHeight="1">
      <c r="A21" s="25">
        <f>IF(G21="","",ROW()-15)</f>
        <v/>
      </c>
      <c r="B21" s="26" t="n">
        <v>46345</v>
      </c>
      <c r="C21" s="25" t="inlineStr">
        <is>
          <t>Jeudi</t>
        </is>
      </c>
      <c r="D21" s="25" t="inlineStr">
        <is>
          <t>S3</t>
        </is>
      </c>
      <c r="E21" s="27" t="inlineStr">
        <is>
          <t>TREND</t>
        </is>
      </c>
      <c r="F21" s="28" t="inlineStr">
        <is>
          <t>Reel</t>
        </is>
      </c>
      <c r="G21" s="29" t="inlineStr">
        <is>
          <t>Ce que j'aurais aimé savoir sur l'argent à 25 ans</t>
        </is>
      </c>
      <c r="H21" s="28" t="inlineStr">
        <is>
          <t>3 jeunes de la communauté ou de l'équipe, 1 phrase chacun.</t>
        </is>
      </c>
      <c r="I21" s="28" t="inlineStr">
        <is>
          <t>Et toi, tu dirais quoi ? En commentaire</t>
        </is>
      </c>
      <c r="J21" s="28" t="inlineStr">
        <is>
          <t>Couverture Reel (version Photo)</t>
        </is>
      </c>
      <c r="K21" s="28" t="inlineStr">
        <is>
          <t>Boîte à questions sur le thème</t>
        </is>
      </c>
      <c r="L21" s="30" t="n">
        <v>150</v>
      </c>
      <c r="M21" s="25" t="inlineStr">
        <is>
          <t>À préparer</t>
        </is>
      </c>
      <c r="N21" s="28" t="inlineStr"/>
      <c r="O21" s="25" t="inlineStr">
        <is>
          <t>Non requis</t>
        </is>
      </c>
      <c r="P21" s="28" t="inlineStr"/>
    </row>
    <row r="22" ht="42" customHeight="1">
      <c r="A22" s="19">
        <f>IF(G22="","",ROW()-15)</f>
        <v/>
      </c>
      <c r="B22" s="20" t="n">
        <v>46350</v>
      </c>
      <c r="C22" s="19" t="inlineStr">
        <is>
          <t>Mardi</t>
        </is>
      </c>
      <c r="D22" s="19" t="inlineStr">
        <is>
          <t>S4</t>
        </is>
      </c>
      <c r="E22" s="21" t="inlineStr">
        <is>
          <t>PRODUITS</t>
        </is>
      </c>
      <c r="F22" s="22" t="inlineStr">
        <is>
          <t>Carrousel</t>
        </is>
      </c>
      <c r="G22" s="23" t="inlineStr">
        <is>
          <t>31 décembre : ce qu'il faut faire avant la fin d'année pour ton 3a</t>
        </is>
      </c>
      <c r="H22" s="22" t="inlineStr">
        <is>
          <t>Check-list : vérifier son plafond · faire son versement · garder l'attestation.</t>
        </is>
      </c>
      <c r="I22" s="22" t="inlineStr">
        <is>
          <t>Prends rendez-vous / Calcule ton économie</t>
        </is>
      </c>
      <c r="J22" s="22" t="inlineStr">
        <is>
          <t>Post 2 + Post 3</t>
        </is>
      </c>
      <c r="K22" s="22" t="inlineStr">
        <is>
          <t>Story 1 minute prévoyance + lien</t>
        </is>
      </c>
      <c r="L22" s="24" t="n">
        <v>1500</v>
      </c>
      <c r="M22" s="19" t="inlineStr">
        <is>
          <t>À préparer</t>
        </is>
      </c>
      <c r="N22" s="22" t="inlineStr"/>
      <c r="O22" s="19" t="inlineStr">
        <is>
          <t>À faire</t>
        </is>
      </c>
      <c r="P22" s="22" t="inlineStr"/>
    </row>
    <row r="23" ht="42" customHeight="1">
      <c r="A23" s="25">
        <f>IF(G23="","",ROW()-15)</f>
        <v/>
      </c>
      <c r="B23" s="26" t="n">
        <v>46352</v>
      </c>
      <c r="C23" s="25" t="inlineStr">
        <is>
          <t>Jeudi</t>
        </is>
      </c>
      <c r="D23" s="25" t="inlineStr">
        <is>
          <t>S4</t>
        </is>
      </c>
      <c r="E23" s="27" t="inlineStr">
        <is>
          <t>TREND</t>
        </is>
      </c>
      <c r="F23" s="28" t="inlineStr">
        <is>
          <t>Reel</t>
        </is>
      </c>
      <c r="G23" s="29" t="inlineStr">
        <is>
          <t>Dis-moi que tu es freelance sans me dire que tu es freelance</t>
        </is>
      </c>
      <c r="H23" s="28" t="inlineStr">
        <is>
          <t>Format tendance : 4 situations du quotidien d'indépendant·e, la dernière : « et personne ne cotise pour ma retraite ».</t>
        </is>
      </c>
      <c r="I23" s="28" t="inlineStr">
        <is>
          <t>Dis-nous la tienne en commentaire</t>
        </is>
      </c>
      <c r="J23" s="28" t="inlineStr">
        <is>
          <t>Couverture Reel (version Photo)</t>
        </is>
      </c>
      <c r="K23" s="28" t="inlineStr">
        <is>
          <t>Sondage « Tu as un 3a ? Oui / Pas encore »</t>
        </is>
      </c>
      <c r="L23" s="30" t="n">
        <v>0</v>
      </c>
      <c r="M23" s="25" t="inlineStr">
        <is>
          <t>À préparer</t>
        </is>
      </c>
      <c r="N23" s="28" t="inlineStr"/>
      <c r="O23" s="25" t="inlineStr">
        <is>
          <t>Non requis</t>
        </is>
      </c>
      <c r="P23" s="28" t="inlineStr"/>
    </row>
    <row r="24" ht="20" customHeight="1">
      <c r="A24" s="19">
        <f>IF(G24="","",ROW()-15)</f>
        <v/>
      </c>
      <c r="B24" s="20" t="n"/>
      <c r="C24" s="19" t="n"/>
      <c r="D24" s="19" t="n"/>
      <c r="E24" s="21" t="n"/>
      <c r="F24" s="22" t="n"/>
      <c r="G24" s="23" t="n"/>
      <c r="H24" s="22" t="n"/>
      <c r="I24" s="22" t="n"/>
      <c r="J24" s="22" t="n"/>
      <c r="K24" s="22" t="n"/>
      <c r="L24" s="24" t="n"/>
      <c r="M24" s="19" t="n"/>
      <c r="N24" s="22" t="n"/>
      <c r="O24" s="19" t="n"/>
      <c r="P24" s="22" t="n"/>
    </row>
    <row r="25" ht="20" customHeight="1">
      <c r="A25" s="25">
        <f>IF(G25="","",ROW()-15)</f>
        <v/>
      </c>
      <c r="B25" s="26" t="n"/>
      <c r="C25" s="25" t="n"/>
      <c r="D25" s="25" t="n"/>
      <c r="E25" s="27" t="n"/>
      <c r="F25" s="28" t="n"/>
      <c r="G25" s="29" t="n"/>
      <c r="H25" s="28" t="n"/>
      <c r="I25" s="28" t="n"/>
      <c r="J25" s="28" t="n"/>
      <c r="K25" s="28" t="n"/>
      <c r="L25" s="30" t="n"/>
      <c r="M25" s="25" t="n"/>
      <c r="N25" s="28" t="n"/>
      <c r="O25" s="25" t="n"/>
      <c r="P25" s="28" t="n"/>
    </row>
    <row r="26" ht="20" customHeight="1">
      <c r="A26" s="19">
        <f>IF(G26="","",ROW()-15)</f>
        <v/>
      </c>
      <c r="B26" s="20" t="n"/>
      <c r="C26" s="19" t="n"/>
      <c r="D26" s="19" t="n"/>
      <c r="E26" s="21" t="n"/>
      <c r="F26" s="22" t="n"/>
      <c r="G26" s="23" t="n"/>
      <c r="H26" s="22" t="n"/>
      <c r="I26" s="22" t="n"/>
      <c r="J26" s="22" t="n"/>
      <c r="K26" s="22" t="n"/>
      <c r="L26" s="24" t="n"/>
      <c r="M26" s="19" t="n"/>
      <c r="N26" s="22" t="n"/>
      <c r="O26" s="19" t="n"/>
      <c r="P26" s="22" t="n"/>
    </row>
    <row r="27" ht="20" customHeight="1">
      <c r="A27" s="25">
        <f>IF(G27="","",ROW()-15)</f>
        <v/>
      </c>
      <c r="B27" s="26" t="n"/>
      <c r="C27" s="25" t="n"/>
      <c r="D27" s="25" t="n"/>
      <c r="E27" s="27" t="n"/>
      <c r="F27" s="28" t="n"/>
      <c r="G27" s="29" t="n"/>
      <c r="H27" s="28" t="n"/>
      <c r="I27" s="28" t="n"/>
      <c r="J27" s="28" t="n"/>
      <c r="K27" s="28" t="n"/>
      <c r="L27" s="30" t="n"/>
      <c r="M27" s="25" t="n"/>
      <c r="N27" s="28" t="n"/>
      <c r="O27" s="25" t="n"/>
      <c r="P27" s="28" t="n"/>
    </row>
    <row r="28" ht="20" customHeight="1">
      <c r="A28" s="19">
        <f>IF(G28="","",ROW()-15)</f>
        <v/>
      </c>
      <c r="B28" s="20" t="n"/>
      <c r="C28" s="19" t="n"/>
      <c r="D28" s="19" t="n"/>
      <c r="E28" s="21" t="n"/>
      <c r="F28" s="22" t="n"/>
      <c r="G28" s="23" t="n"/>
      <c r="H28" s="22" t="n"/>
      <c r="I28" s="22" t="n"/>
      <c r="J28" s="22" t="n"/>
      <c r="K28" s="22" t="n"/>
      <c r="L28" s="24" t="n"/>
      <c r="M28" s="19" t="n"/>
      <c r="N28" s="22" t="n"/>
      <c r="O28" s="19" t="n"/>
      <c r="P28" s="22" t="n"/>
    </row>
    <row r="29" ht="20" customHeight="1">
      <c r="A29" s="25">
        <f>IF(G29="","",ROW()-15)</f>
        <v/>
      </c>
      <c r="B29" s="26" t="n"/>
      <c r="C29" s="25" t="n"/>
      <c r="D29" s="25" t="n"/>
      <c r="E29" s="27" t="n"/>
      <c r="F29" s="28" t="n"/>
      <c r="G29" s="29" t="n"/>
      <c r="H29" s="28" t="n"/>
      <c r="I29" s="28" t="n"/>
      <c r="J29" s="28" t="n"/>
      <c r="K29" s="28" t="n"/>
      <c r="L29" s="30" t="n"/>
      <c r="M29" s="25" t="n"/>
      <c r="N29" s="28" t="n"/>
      <c r="O29" s="25" t="n"/>
      <c r="P29" s="28" t="n"/>
    </row>
    <row r="30" ht="20" customHeight="1">
      <c r="A30" s="19">
        <f>IF(G30="","",ROW()-15)</f>
        <v/>
      </c>
      <c r="B30" s="20" t="n"/>
      <c r="C30" s="19" t="n"/>
      <c r="D30" s="19" t="n"/>
      <c r="E30" s="21" t="n"/>
      <c r="F30" s="22" t="n"/>
      <c r="G30" s="23" t="n"/>
      <c r="H30" s="22" t="n"/>
      <c r="I30" s="22" t="n"/>
      <c r="J30" s="22" t="n"/>
      <c r="K30" s="22" t="n"/>
      <c r="L30" s="24" t="n"/>
      <c r="M30" s="19" t="n"/>
      <c r="N30" s="22" t="n"/>
      <c r="O30" s="19" t="n"/>
      <c r="P30" s="22" t="n"/>
    </row>
    <row r="31" ht="20" customHeight="1">
      <c r="A31" s="25">
        <f>IF(G31="","",ROW()-15)</f>
        <v/>
      </c>
      <c r="B31" s="26" t="n"/>
      <c r="C31" s="25" t="n"/>
      <c r="D31" s="25" t="n"/>
      <c r="E31" s="27" t="n"/>
      <c r="F31" s="28" t="n"/>
      <c r="G31" s="29" t="n"/>
      <c r="H31" s="28" t="n"/>
      <c r="I31" s="28" t="n"/>
      <c r="J31" s="28" t="n"/>
      <c r="K31" s="28" t="n"/>
      <c r="L31" s="30" t="n"/>
      <c r="M31" s="25" t="n"/>
      <c r="N31" s="28" t="n"/>
      <c r="O31" s="25" t="n"/>
      <c r="P31" s="28" t="n"/>
    </row>
    <row r="32" ht="20" customHeight="1">
      <c r="A32" s="19">
        <f>IF(G32="","",ROW()-15)</f>
        <v/>
      </c>
      <c r="B32" s="20" t="n"/>
      <c r="C32" s="19" t="n"/>
      <c r="D32" s="19" t="n"/>
      <c r="E32" s="21" t="n"/>
      <c r="F32" s="22" t="n"/>
      <c r="G32" s="23" t="n"/>
      <c r="H32" s="22" t="n"/>
      <c r="I32" s="22" t="n"/>
      <c r="J32" s="22" t="n"/>
      <c r="K32" s="22" t="n"/>
      <c r="L32" s="24" t="n"/>
      <c r="M32" s="19" t="n"/>
      <c r="N32" s="22" t="n"/>
      <c r="O32" s="19" t="n"/>
      <c r="P32" s="22" t="n"/>
    </row>
    <row r="33" ht="20" customHeight="1">
      <c r="A33" s="25">
        <f>IF(G33="","",ROW()-15)</f>
        <v/>
      </c>
      <c r="B33" s="26" t="n"/>
      <c r="C33" s="25" t="n"/>
      <c r="D33" s="25" t="n"/>
      <c r="E33" s="27" t="n"/>
      <c r="F33" s="28" t="n"/>
      <c r="G33" s="29" t="n"/>
      <c r="H33" s="28" t="n"/>
      <c r="I33" s="28" t="n"/>
      <c r="J33" s="28" t="n"/>
      <c r="K33" s="28" t="n"/>
      <c r="L33" s="30" t="n"/>
      <c r="M33" s="25" t="n"/>
      <c r="N33" s="28" t="n"/>
      <c r="O33" s="25" t="n"/>
      <c r="P33" s="28" t="n"/>
    </row>
    <row r="34" ht="20" customHeight="1">
      <c r="A34" s="19">
        <f>IF(G34="","",ROW()-15)</f>
        <v/>
      </c>
      <c r="B34" s="20" t="n"/>
      <c r="C34" s="19" t="n"/>
      <c r="D34" s="19" t="n"/>
      <c r="E34" s="21" t="n"/>
      <c r="F34" s="22" t="n"/>
      <c r="G34" s="23" t="n"/>
      <c r="H34" s="22" t="n"/>
      <c r="I34" s="22" t="n"/>
      <c r="J34" s="22" t="n"/>
      <c r="K34" s="22" t="n"/>
      <c r="L34" s="24" t="n"/>
      <c r="M34" s="19" t="n"/>
      <c r="N34" s="22" t="n"/>
      <c r="O34" s="19" t="n"/>
      <c r="P34" s="22" t="n"/>
    </row>
    <row r="35" ht="20" customHeight="1">
      <c r="A35" s="25">
        <f>IF(G35="","",ROW()-15)</f>
        <v/>
      </c>
      <c r="B35" s="26" t="n"/>
      <c r="C35" s="25" t="n"/>
      <c r="D35" s="25" t="n"/>
      <c r="E35" s="27" t="n"/>
      <c r="F35" s="28" t="n"/>
      <c r="G35" s="29" t="n"/>
      <c r="H35" s="28" t="n"/>
      <c r="I35" s="28" t="n"/>
      <c r="J35" s="28" t="n"/>
      <c r="K35" s="28" t="n"/>
      <c r="L35" s="30" t="n"/>
      <c r="M35" s="25" t="n"/>
      <c r="N35" s="28" t="n"/>
      <c r="O35" s="25" t="n"/>
      <c r="P35" s="28" t="n"/>
    </row>
    <row r="36" ht="20" customHeight="1">
      <c r="A36" s="19">
        <f>IF(G36="","",ROW()-15)</f>
        <v/>
      </c>
      <c r="B36" s="20" t="n"/>
      <c r="C36" s="19" t="n"/>
      <c r="D36" s="19" t="n"/>
      <c r="E36" s="21" t="n"/>
      <c r="F36" s="22" t="n"/>
      <c r="G36" s="23" t="n"/>
      <c r="H36" s="22" t="n"/>
      <c r="I36" s="22" t="n"/>
      <c r="J36" s="22" t="n"/>
      <c r="K36" s="22" t="n"/>
      <c r="L36" s="24" t="n"/>
      <c r="M36" s="19" t="n"/>
      <c r="N36" s="22" t="n"/>
      <c r="O36" s="19" t="n"/>
      <c r="P36" s="22" t="n"/>
    </row>
    <row r="37" ht="20" customHeight="1">
      <c r="A37" s="25">
        <f>IF(G37="","",ROW()-15)</f>
        <v/>
      </c>
      <c r="B37" s="26" t="n"/>
      <c r="C37" s="25" t="n"/>
      <c r="D37" s="25" t="n"/>
      <c r="E37" s="27" t="n"/>
      <c r="F37" s="28" t="n"/>
      <c r="G37" s="29" t="n"/>
      <c r="H37" s="28" t="n"/>
      <c r="I37" s="28" t="n"/>
      <c r="J37" s="28" t="n"/>
      <c r="K37" s="28" t="n"/>
      <c r="L37" s="30" t="n"/>
      <c r="M37" s="25" t="n"/>
      <c r="N37" s="28" t="n"/>
      <c r="O37" s="25" t="n"/>
      <c r="P37" s="28" t="n"/>
    </row>
    <row r="38" ht="20" customHeight="1">
      <c r="A38" s="19">
        <f>IF(G38="","",ROW()-15)</f>
        <v/>
      </c>
      <c r="B38" s="20" t="n"/>
      <c r="C38" s="19" t="n"/>
      <c r="D38" s="19" t="n"/>
      <c r="E38" s="21" t="n"/>
      <c r="F38" s="22" t="n"/>
      <c r="G38" s="23" t="n"/>
      <c r="H38" s="22" t="n"/>
      <c r="I38" s="22" t="n"/>
      <c r="J38" s="22" t="n"/>
      <c r="K38" s="22" t="n"/>
      <c r="L38" s="24" t="n"/>
      <c r="M38" s="19" t="n"/>
      <c r="N38" s="22" t="n"/>
      <c r="O38" s="19" t="n"/>
      <c r="P38" s="22" t="n"/>
    </row>
    <row r="39" ht="20" customHeight="1">
      <c r="A39" s="25">
        <f>IF(G39="","",ROW()-15)</f>
        <v/>
      </c>
      <c r="B39" s="26" t="n"/>
      <c r="C39" s="25" t="n"/>
      <c r="D39" s="25" t="n"/>
      <c r="E39" s="27" t="n"/>
      <c r="F39" s="28" t="n"/>
      <c r="G39" s="29" t="n"/>
      <c r="H39" s="28" t="n"/>
      <c r="I39" s="28" t="n"/>
      <c r="J39" s="28" t="n"/>
      <c r="K39" s="28" t="n"/>
      <c r="L39" s="30" t="n"/>
      <c r="M39" s="25" t="n"/>
      <c r="N39" s="28" t="n"/>
      <c r="O39" s="25" t="n"/>
      <c r="P39" s="28" t="n"/>
    </row>
    <row r="40" ht="20" customHeight="1">
      <c r="A40" s="19">
        <f>IF(G40="","",ROW()-15)</f>
        <v/>
      </c>
      <c r="B40" s="20" t="n"/>
      <c r="C40" s="19" t="n"/>
      <c r="D40" s="19" t="n"/>
      <c r="E40" s="21" t="n"/>
      <c r="F40" s="22" t="n"/>
      <c r="G40" s="23" t="n"/>
      <c r="H40" s="22" t="n"/>
      <c r="I40" s="22" t="n"/>
      <c r="J40" s="22" t="n"/>
      <c r="K40" s="22" t="n"/>
      <c r="L40" s="24" t="n"/>
      <c r="M40" s="19" t="n"/>
      <c r="N40" s="22" t="n"/>
      <c r="O40" s="19" t="n"/>
      <c r="P40" s="22" t="n"/>
    </row>
    <row r="41">
      <c r="K41" s="31" t="inlineStr">
        <is>
          <t>Total pub du mois</t>
        </is>
      </c>
      <c r="L41" s="32">
        <f>SUM(L16:L40)</f>
        <v/>
      </c>
    </row>
    <row r="42">
      <c r="K42" s="31" t="inlineStr">
        <is>
          <t>Posts publiés</t>
        </is>
      </c>
      <c r="L42" s="33">
        <f>COUNTIF(M16:M40,"Publié")&amp;" / "&amp;COUNTA(G16:G40)</f>
        <v/>
      </c>
    </row>
    <row r="44">
      <c r="A44" s="34" t="inlineStr">
        <is>
          <t>Pub du mois : 300 (événement L'Annexe) + 100 (événement partenaire) + 300 (pub continue sur les meilleurs posts PRODUITS / TREND) + 1'500 (campagne fin d'année, couvre novembre et décembre).</t>
        </is>
      </c>
    </row>
    <row r="45">
      <c r="A45" s="34" t="inlineStr">
        <is>
          <t>À valider : dates et thèmes des événements [entre crochets] · contenus PRODUITS par la conformité (plafonds 3a, pas de promesse de rendement) · sons tendance à choisir la veille parmi les sons libres de droits pour compte pro.</t>
        </is>
      </c>
    </row>
    <row r="46">
      <c r="A46" s="34" t="inlineStr">
        <is>
          <t>Le récap de l'événement L'Annexe se fait en stories (pas de post supplémentaire), pour garder le rythme de 2 posts par semaine.</t>
        </is>
      </c>
    </row>
  </sheetData>
  <autoFilter ref="A15:P40"/>
  <mergeCells count="13">
    <mergeCell ref="F4:G4"/>
    <mergeCell ref="J4:K4"/>
    <mergeCell ref="B7:F7"/>
    <mergeCell ref="G7:K7"/>
    <mergeCell ref="B9:F9"/>
    <mergeCell ref="B10:F10"/>
    <mergeCell ref="B11:F11"/>
    <mergeCell ref="G10:K10"/>
    <mergeCell ref="G11:K11"/>
    <mergeCell ref="G8:K8"/>
    <mergeCell ref="B8:F8"/>
    <mergeCell ref="B4:C4"/>
    <mergeCell ref="G9:K9"/>
  </mergeCells>
  <conditionalFormatting sqref="E16:E40">
    <cfRule type="cellIs" priority="1" operator="equal" dxfId="0">
      <formula>"PRODUITS"</formula>
    </cfRule>
    <cfRule type="cellIs" priority="2" operator="equal" dxfId="1">
      <formula>"EVENT"</formula>
    </cfRule>
    <cfRule type="cellIs" priority="3" operator="equal" dxfId="2">
      <formula>"TREND"</formula>
    </cfRule>
  </conditionalFormatting>
  <conditionalFormatting sqref="M16:M40">
    <cfRule type="cellIs" priority="4" operator="equal" dxfId="3">
      <formula>"Publié"</formula>
    </cfRule>
    <cfRule type="cellIs" priority="5" operator="equal" dxfId="4">
      <formula>"Programmé"</formula>
    </cfRule>
    <cfRule type="cellIs" priority="6" operator="equal" dxfId="5">
      <formula>"En validation"</formula>
    </cfRule>
    <cfRule type="cellIs" priority="7" operator="equal" dxfId="6">
      <formula>"En création"</formula>
    </cfRule>
  </conditionalFormatting>
  <conditionalFormatting sqref="O16:O40">
    <cfRule type="cellIs" priority="8" operator="equal" dxfId="5">
      <formula>"À faire"</formula>
    </cfRule>
  </conditionalFormatting>
  <dataValidations count="5">
    <dataValidation sqref="E16:E40" showDropDown="0" showInputMessage="0" showErrorMessage="1" allowBlank="1" error="Choisis une valeur dans la liste" type="list">
      <formula1>"PRODUITS,EVENT,TREND"</formula1>
    </dataValidation>
    <dataValidation sqref="F16:F40" showDropDown="0" showInputMessage="0" showErrorMessage="1" allowBlank="1" error="Choisis une valeur dans la liste" type="list">
      <formula1>"Reel,Carrousel,Carrousel (4 slides),Carrousel photo,Post,Post collab (co-auteur),Story"</formula1>
    </dataValidation>
    <dataValidation sqref="M16:M40" showDropDown="0" showInputMessage="0" showErrorMessage="1" allowBlank="1" error="Choisis une valeur dans la liste" type="list">
      <formula1>"À préparer,En création,En validation,Programmé,Publié"</formula1>
    </dataValidation>
    <dataValidation sqref="O16:O40" showDropDown="0" showInputMessage="0" showErrorMessage="1" allowBlank="1" error="Choisis une valeur dans la liste" type="list">
      <formula1>"À faire,Validé,Non requis"</formula1>
    </dataValidation>
    <dataValidation sqref="B16:B40" showDropDown="0" showInputMessage="0" showErrorMessage="0" allowBlank="1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2026-10-05T13:44:22Z</dcterms:created>
  <dcterms:modified xsi:type="dcterms:W3CDTF">2026-10-05T13:44:22Z</dcterms:modified>
</cp:coreProperties>
</file>