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Mode d'emploi" sheetId="1" state="visible" r:id="rId1"/>
    <sheet name="Idées de posts" sheetId="2" state="visible" r:id="rId2"/>
    <sheet name="Tableau de bord" sheetId="3" state="visible" r:id="rId3"/>
    <sheet name="Listes" sheetId="4" state="visible" r:id="rId4"/>
  </sheets>
  <definedNames>
    <definedName name="_xlnm._FilterDatabase" localSheetId="1" hidden="1">'Idées de posts'!$A$1:$V$300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+0%;-0%;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5F"/>
      <sz val="14"/>
    </font>
    <font>
      <name val="Arial"/>
      <i val="1"/>
      <color rgb="007F7F7F"/>
      <sz val="9"/>
    </font>
    <font>
      <name val="Arial"/>
      <b val="1"/>
    </font>
    <font>
      <name val="Arial"/>
      <color rgb="00000000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1F3A5F"/>
      <sz val="13"/>
    </font>
    <font>
      <name val="Arial"/>
      <b val="1"/>
      <color rgb="001F3A5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9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9" fontId="6" fillId="0" borderId="1" pivotButton="0" quotePrefix="0" xfId="0"/>
    <xf numFmtId="0" fontId="7" fillId="0" borderId="0" pivotButton="0" quotePrefix="0" xfId="0"/>
    <xf numFmtId="9" fontId="7" fillId="0" borderId="0" pivotButton="0" quotePrefix="0" xfId="0"/>
    <xf numFmtId="9" fontId="8" fillId="0" borderId="1" pivotButton="0" quotePrefix="0" xfId="0"/>
    <xf numFmtId="166" fontId="6" fillId="0" borderId="1" pivotButton="0" quotePrefix="0" xfId="0"/>
    <xf numFmtId="0" fontId="2" fillId="0" borderId="1" pivotButton="0" quotePrefix="0" xfId="0"/>
    <xf numFmtId="1" fontId="2" fillId="0" borderId="1" pivotButton="0" quotePrefix="0" xfId="0"/>
    <xf numFmtId="3" fontId="2" fillId="0" borderId="1" pivotButton="0" quotePrefix="0" xfId="0"/>
    <xf numFmtId="165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Idées de posts – Jeunes entrepreneuses genevoises (L'Annexe by RG / Rentes Genevoises)</t>
        </is>
      </c>
    </row>
    <row r="2">
      <c r="A2" s="2" t="inlineStr"/>
    </row>
    <row r="3">
      <c r="A3" s="3" t="inlineStr">
        <is>
          <t>Comment l'utiliser</t>
        </is>
      </c>
    </row>
    <row r="4">
      <c r="A4" s="2" t="inlineStr">
        <is>
          <t>1. Ajoute chaque idée sur une nouvelle ligne de l'onglet « Idées de posts ». Le N° se remplit tout seul.</t>
        </is>
      </c>
    </row>
    <row r="5">
      <c r="A5" s="2" t="inlineStr">
        <is>
          <t>2. Remplis toutes les colonnes, sauf les colonnes grisées (N° et Taux d'engagement), calculées automatiquement.</t>
        </is>
      </c>
    </row>
    <row r="6">
      <c r="A6" s="2" t="inlineStr">
        <is>
          <t>3. Statut, Persona, Niveau de conscience, Pilier, Canal, Format, Marque, Ton et Validation conformité ont des listes déroulantes.</t>
        </is>
      </c>
    </row>
    <row r="7">
      <c r="A7" s="2" t="inlineStr">
        <is>
          <t>4. Pour ajouter une valeur à une liste (ex. un nouveau canal), écris-la en bas de la bonne colonne dans l'onglet « Listes ».</t>
        </is>
      </c>
    </row>
    <row r="8">
      <c r="A8" s="2" t="inlineStr">
        <is>
          <t>5. Après publication : passe le statut à « Publié » et remplis Portée, Interactions et Clics. Le taux d'engagement se calcule tout seul.</t>
        </is>
      </c>
    </row>
    <row r="9">
      <c r="A9" s="2" t="inlineStr">
        <is>
          <t>6. L'onglet « Tableau de bord » montre la répartition des idées et compare le mix de contenu aux objectifs (cellules bleues modifiables).</t>
        </is>
      </c>
    </row>
    <row r="10">
      <c r="A10" s="2" t="inlineStr">
        <is>
          <t>7. Les filtres de la ligne d'en-tête permettent de trier par persona, canal, statut, etc.</t>
        </is>
      </c>
    </row>
    <row r="11">
      <c r="A11" s="2" t="inlineStr"/>
    </row>
    <row r="12">
      <c r="A12" s="2" t="inlineStr">
        <is>
          <t>Les 19 idées déjà saisies sont des exemples issus de notre travail : modifie-les, supprime-les ou ajoutes-en.</t>
        </is>
      </c>
    </row>
    <row r="13">
      <c r="A13" s="2" t="inlineStr"/>
    </row>
    <row r="14">
      <c r="A14" s="3" t="inlineStr">
        <is>
          <t>Repères</t>
        </is>
      </c>
    </row>
    <row r="15">
      <c r="A15" s="2" t="inlineStr">
        <is>
          <t>Personas : Inès, 27 ans, fondatrice de start-up · Maya, 24 ans, freelance qui démarre · Sofia, 32 ans, praticienne qui s'installe.</t>
        </is>
      </c>
    </row>
    <row r="16">
      <c r="A16" s="2" t="inlineStr">
        <is>
          <t>Niveaux de conscience : 1 Pas consciente → 2 Consciente du problème → 3 Connaît les solutions → 4 Connaît RG → 5 Prête. Viser ~60 % d'idées aux niveaux 1 à 3.</t>
        </is>
      </c>
    </row>
    <row r="17">
      <c r="A17" s="2" t="inlineStr">
        <is>
          <t>Mix de contenu recommandé : 40 % Inspiration · 30 % Éducation · 20 % Preuve / Marque · 10 % Conversion (plus de conversion de septembre à décembre).</t>
        </is>
      </c>
    </row>
    <row r="18">
      <c r="A18" s="2" t="inlineStr">
        <is>
          <t>Ton : « Tu » pour L'Annexe / Instagram / TikTok ; « Vous » possible pour Rentes Genevoises / LinkedIn. Parler de liberté et d'indépendance, jamais de peur.</t>
        </is>
      </c>
    </row>
    <row r="19">
      <c r="A19" s="2" t="inlineStr"/>
    </row>
    <row r="20">
      <c r="A20" s="3" t="inlineStr">
        <is>
          <t>Règles avant publication</t>
        </is>
      </c>
    </row>
    <row r="21">
      <c r="A21" s="2" t="inlineStr">
        <is>
          <t>• Tout chiffre doit avoir une source et une année (colonne « Chiffre utilisé + source »). Aucun chiffre inventé.</t>
        </is>
      </c>
    </row>
    <row r="22">
      <c r="A22" s="2" t="inlineStr">
        <is>
          <t>• Pas de promesse de rendement. Mentions légales selon les règles internes.</t>
        </is>
      </c>
    </row>
    <row r="23">
      <c r="A23" s="2" t="inlineStr">
        <is>
          <t>• Témoignages : uniquement de vraies clientes, avec consentement écrit.</t>
        </is>
      </c>
    </row>
    <row r="24">
      <c r="A24" s="2" t="inlineStr">
        <is>
          <t>• Plafonds 3a 2026 (7'258 CHF avec 2e pilier ; 20 % du revenu, max 36'288 CHF sans 2e pilier) et flexibilité des versements : à faire valider en interne.</t>
        </is>
      </c>
    </row>
    <row r="25">
      <c r="A25" s="2" t="inlineStr">
        <is>
          <t>• Case orange dans « Validation conformité » = idée pas encore validée.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45" customWidth="1" min="5" max="5"/>
    <col width="24" customWidth="1" min="6" max="6"/>
    <col width="24" customWidth="1" min="7" max="7"/>
    <col width="16" customWidth="1" min="8" max="8"/>
    <col width="13" customWidth="1" min="9" max="9"/>
    <col width="13" customWidth="1" min="10" max="10"/>
    <col width="18" customWidth="1" min="11" max="11"/>
    <col width="6" customWidth="1" min="12" max="12"/>
    <col width="26" customWidth="1" min="13" max="13"/>
    <col width="36" customWidth="1" min="14" max="14"/>
    <col width="14" customWidth="1" min="15" max="15"/>
    <col width="14" customWidth="1" min="16" max="16"/>
    <col width="22" customWidth="1" min="17" max="17"/>
    <col width="10" customWidth="1" min="18" max="18"/>
    <col width="12" customWidth="1" min="19" max="19"/>
    <col width="12" customWidth="1" min="20" max="20"/>
    <col width="8" customWidth="1" min="21" max="21"/>
    <col width="32" customWidth="1" min="22" max="22"/>
  </cols>
  <sheetData>
    <row r="1" ht="32" customHeight="1">
      <c r="A1" s="4" t="inlineStr">
        <is>
          <t>N°</t>
        </is>
      </c>
      <c r="B1" s="4" t="inlineStr">
        <is>
          <t>Date prévue</t>
        </is>
      </c>
      <c r="C1" s="4" t="inlineStr">
        <is>
          <t>Statut</t>
        </is>
      </c>
      <c r="D1" s="4" t="inlineStr">
        <is>
          <t>Titre / accroche</t>
        </is>
      </c>
      <c r="E1" s="4" t="inlineStr">
        <is>
          <t>Angle / description</t>
        </is>
      </c>
      <c r="F1" s="4" t="inlineStr">
        <is>
          <t>Persona</t>
        </is>
      </c>
      <c r="G1" s="4" t="inlineStr">
        <is>
          <t>Niveau de conscience</t>
        </is>
      </c>
      <c r="H1" s="4" t="inlineStr">
        <is>
          <t>Pilier de contenu</t>
        </is>
      </c>
      <c r="I1" s="4" t="inlineStr">
        <is>
          <t>Canal</t>
        </is>
      </c>
      <c r="J1" s="4" t="inlineStr">
        <is>
          <t>Format</t>
        </is>
      </c>
      <c r="K1" s="4" t="inlineStr">
        <is>
          <t>Marque</t>
        </is>
      </c>
      <c r="L1" s="4" t="inlineStr">
        <is>
          <t>Ton</t>
        </is>
      </c>
      <c r="M1" s="4" t="inlineStr">
        <is>
          <t>Call-to-action</t>
        </is>
      </c>
      <c r="N1" s="4" t="inlineStr">
        <is>
          <t>Chiffre utilisé + source</t>
        </is>
      </c>
      <c r="O1" s="4" t="inlineStr">
        <is>
          <t>Validation conformité</t>
        </is>
      </c>
      <c r="P1" s="4" t="inlineStr">
        <is>
          <t>Responsable</t>
        </is>
      </c>
      <c r="Q1" s="4" t="inlineStr">
        <is>
          <t>Lien visuel / brouillon</t>
        </is>
      </c>
      <c r="R1" s="4" t="inlineStr">
        <is>
          <t>Portée</t>
        </is>
      </c>
      <c r="S1" s="4" t="inlineStr">
        <is>
          <t>Interactions</t>
        </is>
      </c>
      <c r="T1" s="4" t="inlineStr">
        <is>
          <t>Taux d'engagement</t>
        </is>
      </c>
      <c r="U1" s="4" t="inlineStr">
        <is>
          <t>Clics</t>
        </is>
      </c>
      <c r="V1" s="4" t="inlineStr">
        <is>
          <t>Notes / apprentissages</t>
        </is>
      </c>
    </row>
    <row r="2">
      <c r="A2" s="5">
        <f>IF(D2="","",ROW()-1)</f>
        <v/>
      </c>
      <c r="B2" s="6" t="n"/>
      <c r="C2" s="7" t="inlineStr">
        <is>
          <t>Idée</t>
        </is>
      </c>
      <c r="D2" s="7" t="inlineStr">
        <is>
          <t>Entrepreneuse à Genève ? Voici le salaire que personne ne te versera à 65 ans.</t>
        </is>
      </c>
      <c r="E2" s="7" t="inlineStr">
        <is>
          <t>Accroche choc : montrer l'écart entre l'AVS seule et les besoins réels. Pas de produit.</t>
        </is>
      </c>
      <c r="F2" s="7" t="inlineStr">
        <is>
          <t>Maya (freelance)</t>
        </is>
      </c>
      <c r="G2" s="7" t="inlineStr">
        <is>
          <t>1 - Pas consciente</t>
        </is>
      </c>
      <c r="H2" s="7" t="inlineStr">
        <is>
          <t>Inspiration</t>
        </is>
      </c>
      <c r="I2" s="7" t="inlineStr">
        <is>
          <t>Instagram</t>
        </is>
      </c>
      <c r="J2" s="7" t="inlineStr">
        <is>
          <t>Reel</t>
        </is>
      </c>
      <c r="K2" s="7" t="inlineStr">
        <is>
          <t>L'Annexe by RG</t>
        </is>
      </c>
      <c r="L2" s="7" t="inlineStr">
        <is>
          <t>Tu</t>
        </is>
      </c>
      <c r="M2" s="7" t="inlineStr">
        <is>
          <t>Suivre @lannexebyrg</t>
        </is>
      </c>
      <c r="N2" s="7" t="n"/>
      <c r="O2" s="7" t="inlineStr">
        <is>
          <t>À faire</t>
        </is>
      </c>
      <c r="P2" s="7" t="n"/>
      <c r="Q2" s="7" t="n"/>
      <c r="R2" s="8" t="n"/>
      <c r="S2" s="8" t="n"/>
      <c r="T2" s="9">
        <f>IF(OR(R2="",R2=0),"",S2/R2)</f>
        <v/>
      </c>
      <c r="U2" s="8" t="n"/>
      <c r="V2" s="7" t="n"/>
    </row>
    <row r="3">
      <c r="A3" s="5">
        <f>IF(D3="","",ROW()-1)</f>
        <v/>
      </c>
      <c r="B3" s="6" t="n"/>
      <c r="C3" s="7" t="inlineStr">
        <is>
          <t>Idée</t>
        </is>
      </c>
      <c r="D3" s="7" t="inlineStr">
        <is>
          <t>Moi qui gère 12 clients en freelance vs moi à 65 ans sans prévoyance</t>
        </is>
      </c>
      <c r="E3" s="7" t="inlineStr">
        <is>
          <t>Mème « vie d'indépendante », humour, très partageable.</t>
        </is>
      </c>
      <c r="F3" s="7" t="inlineStr">
        <is>
          <t>Maya (freelance)</t>
        </is>
      </c>
      <c r="G3" s="7" t="inlineStr">
        <is>
          <t>1 - Pas consciente</t>
        </is>
      </c>
      <c r="H3" s="7" t="inlineStr">
        <is>
          <t>Inspiration</t>
        </is>
      </c>
      <c r="I3" s="7" t="inlineStr">
        <is>
          <t>TikTok</t>
        </is>
      </c>
      <c r="J3" s="7" t="inlineStr">
        <is>
          <t>Mème</t>
        </is>
      </c>
      <c r="K3" s="7" t="inlineStr">
        <is>
          <t>L'Annexe by RG</t>
        </is>
      </c>
      <c r="L3" s="7" t="inlineStr">
        <is>
          <t>Tu</t>
        </is>
      </c>
      <c r="M3" s="7" t="inlineStr">
        <is>
          <t>Partager à une amie freelance</t>
        </is>
      </c>
      <c r="N3" s="7" t="n"/>
      <c r="O3" s="7" t="inlineStr">
        <is>
          <t>À faire</t>
        </is>
      </c>
      <c r="P3" s="7" t="n"/>
      <c r="Q3" s="7" t="n"/>
      <c r="R3" s="8" t="n"/>
      <c r="S3" s="8" t="n"/>
      <c r="T3" s="9">
        <f>IF(OR(R3="",R3=0),"",S3/R3)</f>
        <v/>
      </c>
      <c r="U3" s="8" t="n"/>
      <c r="V3" s="7" t="n"/>
    </row>
    <row r="4">
      <c r="A4" s="5">
        <f>IF(D4="","",ROW()-1)</f>
        <v/>
      </c>
      <c r="B4" s="6" t="n"/>
      <c r="C4" s="7" t="inlineStr">
        <is>
          <t>Idée</t>
        </is>
      </c>
      <c r="D4" s="7" t="inlineStr">
        <is>
          <t>Tu as un business plan pour ta boîte. Et pour toi ?</t>
        </is>
      </c>
      <c r="E4" s="7" t="inlineStr">
        <is>
          <t>Post court : parallèle entre gestion d'entreprise et prévoyance perso.</t>
        </is>
      </c>
      <c r="F4" s="7" t="inlineStr">
        <is>
          <t>Inès (fondatrice start-up)</t>
        </is>
      </c>
      <c r="G4" s="7" t="inlineStr">
        <is>
          <t>1 - Pas consciente</t>
        </is>
      </c>
      <c r="H4" s="7" t="inlineStr">
        <is>
          <t>Inspiration</t>
        </is>
      </c>
      <c r="I4" s="7" t="inlineStr">
        <is>
          <t>LinkedIn</t>
        </is>
      </c>
      <c r="J4" s="7" t="inlineStr">
        <is>
          <t>Post image</t>
        </is>
      </c>
      <c r="K4" s="7" t="inlineStr">
        <is>
          <t>L'Annexe by RG</t>
        </is>
      </c>
      <c r="L4" s="7" t="inlineStr">
        <is>
          <t>Tu</t>
        </is>
      </c>
      <c r="M4" s="7" t="inlineStr">
        <is>
          <t>Commenter</t>
        </is>
      </c>
      <c r="N4" s="7" t="n"/>
      <c r="O4" s="7" t="inlineStr">
        <is>
          <t>À faire</t>
        </is>
      </c>
      <c r="P4" s="7" t="n"/>
      <c r="Q4" s="7" t="n"/>
      <c r="R4" s="8" t="n"/>
      <c r="S4" s="8" t="n"/>
      <c r="T4" s="9">
        <f>IF(OR(R4="",R4=0),"",S4/R4)</f>
        <v/>
      </c>
      <c r="U4" s="8" t="n"/>
      <c r="V4" s="7" t="n"/>
    </row>
    <row r="5">
      <c r="A5" s="5">
        <f>IF(D5="","",ROW()-1)</f>
        <v/>
      </c>
      <c r="B5" s="6" t="n"/>
      <c r="C5" s="7" t="inlineStr">
        <is>
          <t>Idée</t>
        </is>
      </c>
      <c r="D5" s="7" t="inlineStr">
        <is>
          <t>Salariée : 3 piliers. Indépendante : à toi de construire le 2e.</t>
        </is>
      </c>
      <c r="E5" s="7" t="inlineStr">
        <is>
          <t>Schéma des 3 piliers avec le 2e « vide » (campagne Le pilier manquant).</t>
        </is>
      </c>
      <c r="F5" s="7" t="inlineStr">
        <is>
          <t>Maya (freelance)</t>
        </is>
      </c>
      <c r="G5" s="7" t="inlineStr">
        <is>
          <t>2 - Consciente du problème</t>
        </is>
      </c>
      <c r="H5" s="7" t="inlineStr">
        <is>
          <t>Éducation</t>
        </is>
      </c>
      <c r="I5" s="7" t="inlineStr">
        <is>
          <t>Instagram</t>
        </is>
      </c>
      <c r="J5" s="7" t="inlineStr">
        <is>
          <t>Carrousel</t>
        </is>
      </c>
      <c r="K5" s="7" t="inlineStr">
        <is>
          <t>L'Annexe by RG</t>
        </is>
      </c>
      <c r="L5" s="7" t="inlineStr">
        <is>
          <t>Tu</t>
        </is>
      </c>
      <c r="M5" s="7" t="inlineStr">
        <is>
          <t>Télécharger le guide</t>
        </is>
      </c>
      <c r="N5" s="7" t="inlineStr">
        <is>
          <t>CHSS, K. Pärli, 15.02.2024 – 2e pilier facultatif pour les indépendants</t>
        </is>
      </c>
      <c r="O5" s="7" t="inlineStr">
        <is>
          <t>À faire</t>
        </is>
      </c>
      <c r="P5" s="7" t="n"/>
      <c r="Q5" s="7" t="n"/>
      <c r="R5" s="8" t="n"/>
      <c r="S5" s="8" t="n"/>
      <c r="T5" s="9">
        <f>IF(OR(R5="",R5=0),"",S5/R5)</f>
        <v/>
      </c>
      <c r="U5" s="8" t="n"/>
      <c r="V5" s="7" t="n"/>
    </row>
    <row r="6">
      <c r="A6" s="5">
        <f>IF(D6="","",ROW()-1)</f>
        <v/>
      </c>
      <c r="B6" s="6" t="n"/>
      <c r="C6" s="7" t="inlineStr">
        <is>
          <t>Idée</t>
        </is>
      </c>
      <c r="D6" s="7" t="inlineStr">
        <is>
          <t>Les femmes touchent 30,8 % de rente en moins. Voici comment ne pas en faire partie.</t>
        </is>
      </c>
      <c r="E6" s="7" t="inlineStr">
        <is>
          <t>Chiffre OFS, ton solidaire, focus sur ce qu'on peut faire (pas de culpabilisation).</t>
        </is>
      </c>
      <c r="F6" s="7" t="inlineStr">
        <is>
          <t>Toutes</t>
        </is>
      </c>
      <c r="G6" s="7" t="inlineStr">
        <is>
          <t>2 - Consciente du problème</t>
        </is>
      </c>
      <c r="H6" s="7" t="inlineStr">
        <is>
          <t>Éducation</t>
        </is>
      </c>
      <c r="I6" s="7" t="inlineStr">
        <is>
          <t>LinkedIn</t>
        </is>
      </c>
      <c r="J6" s="7" t="inlineStr">
        <is>
          <t>Carrousel</t>
        </is>
      </c>
      <c r="K6" s="7" t="inlineStr">
        <is>
          <t>Rentes Genevoises</t>
        </is>
      </c>
      <c r="L6" s="7" t="inlineStr">
        <is>
          <t>Vous</t>
        </is>
      </c>
      <c r="M6" s="7" t="inlineStr">
        <is>
          <t>Lire l'article</t>
        </is>
      </c>
      <c r="N6" s="7" t="inlineStr">
        <is>
          <t>OFS, Indicateurs de l'égalité 2/2024 (données 2022) – bfs.admin.ch/news/fr/2024-0566</t>
        </is>
      </c>
      <c r="O6" s="7" t="inlineStr">
        <is>
          <t>À faire</t>
        </is>
      </c>
      <c r="P6" s="7" t="n"/>
      <c r="Q6" s="7" t="n"/>
      <c r="R6" s="8" t="n"/>
      <c r="S6" s="8" t="n"/>
      <c r="T6" s="9">
        <f>IF(OR(R6="",R6=0),"",S6/R6)</f>
        <v/>
      </c>
      <c r="U6" s="8" t="n"/>
      <c r="V6" s="7" t="n"/>
    </row>
    <row r="7">
      <c r="A7" s="5">
        <f>IF(D7="","",ROW()-1)</f>
        <v/>
      </c>
      <c r="B7" s="6" t="n"/>
      <c r="C7" s="7" t="inlineStr">
        <is>
          <t>Idée</t>
        </is>
      </c>
      <c r="D7" s="7" t="inlineStr">
        <is>
          <t>Freelance : personne ne cotise pour toi. Voici comment faire, en 3 étapes.</t>
        </is>
      </c>
      <c r="E7" s="7" t="inlineStr">
        <is>
          <t>Face caméra, 3 étapes : comprendre, calculer, ouvrir.</t>
        </is>
      </c>
      <c r="F7" s="7" t="inlineStr">
        <is>
          <t>Maya (freelance)</t>
        </is>
      </c>
      <c r="G7" s="7" t="inlineStr">
        <is>
          <t>2 - Consciente du problème</t>
        </is>
      </c>
      <c r="H7" s="7" t="inlineStr">
        <is>
          <t>Éducation</t>
        </is>
      </c>
      <c r="I7" s="7" t="inlineStr">
        <is>
          <t>TikTok</t>
        </is>
      </c>
      <c r="J7" s="7" t="inlineStr">
        <is>
          <t>Vidéo</t>
        </is>
      </c>
      <c r="K7" s="7" t="inlineStr">
        <is>
          <t>L'Annexe by RG</t>
        </is>
      </c>
      <c r="L7" s="7" t="inlineStr">
        <is>
          <t>Tu</t>
        </is>
      </c>
      <c r="M7" s="7" t="inlineStr">
        <is>
          <t>Tester le simulateur</t>
        </is>
      </c>
      <c r="N7" s="7" t="n"/>
      <c r="O7" s="7" t="inlineStr">
        <is>
          <t>À faire</t>
        </is>
      </c>
      <c r="P7" s="7" t="n"/>
      <c r="Q7" s="7" t="n"/>
      <c r="R7" s="8" t="n"/>
      <c r="S7" s="8" t="n"/>
      <c r="T7" s="9">
        <f>IF(OR(R7="",R7=0),"",S7/R7)</f>
        <v/>
      </c>
      <c r="U7" s="8" t="n"/>
      <c r="V7" s="7" t="n"/>
    </row>
    <row r="8">
      <c r="A8" s="5">
        <f>IF(D8="","",ROW()-1)</f>
        <v/>
      </c>
      <c r="B8" s="6" t="n"/>
      <c r="C8" s="7" t="inlineStr">
        <is>
          <t>Idée</t>
        </is>
      </c>
      <c r="D8" s="7" t="inlineStr">
        <is>
          <t>Maternité, pause, reconversion : ta prévoyance ne doit pas s'arrêter.</t>
        </is>
      </c>
      <c r="E8" s="7" t="inlineStr">
        <is>
          <t>Parcours non linéaires, avec une experte. Peut devenir un live.</t>
        </is>
      </c>
      <c r="F8" s="7" t="inlineStr">
        <is>
          <t>Sofia (praticienne)</t>
        </is>
      </c>
      <c r="G8" s="7" t="inlineStr">
        <is>
          <t>2 - Consciente du problème</t>
        </is>
      </c>
      <c r="H8" s="7" t="inlineStr">
        <is>
          <t>Éducation</t>
        </is>
      </c>
      <c r="I8" s="7" t="inlineStr">
        <is>
          <t>Instagram</t>
        </is>
      </c>
      <c r="J8" s="7" t="inlineStr">
        <is>
          <t>Carrousel</t>
        </is>
      </c>
      <c r="K8" s="7" t="inlineStr">
        <is>
          <t>L'Annexe by RG</t>
        </is>
      </c>
      <c r="L8" s="7" t="inlineStr">
        <is>
          <t>Tu</t>
        </is>
      </c>
      <c r="M8" s="7" t="inlineStr">
        <is>
          <t>S'inscrire au live</t>
        </is>
      </c>
      <c r="N8" s="7" t="n"/>
      <c r="O8" s="7" t="inlineStr">
        <is>
          <t>À faire</t>
        </is>
      </c>
      <c r="P8" s="7" t="n"/>
      <c r="Q8" s="7" t="n"/>
      <c r="R8" s="8" t="n"/>
      <c r="S8" s="8" t="n"/>
      <c r="T8" s="9">
        <f>IF(OR(R8="",R8=0),"",S8/R8)</f>
        <v/>
      </c>
      <c r="U8" s="8" t="n"/>
      <c r="V8" s="7" t="n"/>
    </row>
    <row r="9">
      <c r="A9" s="5">
        <f>IF(D9="","",ROW()-1)</f>
        <v/>
      </c>
      <c r="B9" s="6" t="n"/>
      <c r="C9" s="7" t="inlineStr">
        <is>
          <t>Idée</t>
        </is>
      </c>
      <c r="D9" s="7" t="inlineStr">
        <is>
          <t>Tu paies tes fournisseurs. Et toi, quand te paies-tu pour plus tard ?</t>
        </is>
      </c>
      <c r="E9" s="7" t="inlineStr">
        <is>
          <t>Campagne Payez-vous aussi : la prévoyance comme une ligne du budget.</t>
        </is>
      </c>
      <c r="F9" s="7" t="inlineStr">
        <is>
          <t>Inès (fondatrice start-up)</t>
        </is>
      </c>
      <c r="G9" s="7" t="inlineStr">
        <is>
          <t>2 - Consciente du problème</t>
        </is>
      </c>
      <c r="H9" s="7" t="inlineStr">
        <is>
          <t>Inspiration</t>
        </is>
      </c>
      <c r="I9" s="7" t="inlineStr">
        <is>
          <t>Instagram</t>
        </is>
      </c>
      <c r="J9" s="7" t="inlineStr">
        <is>
          <t>Post image</t>
        </is>
      </c>
      <c r="K9" s="7" t="inlineStr">
        <is>
          <t>L'Annexe by RG</t>
        </is>
      </c>
      <c r="L9" s="7" t="inlineStr">
        <is>
          <t>Tu</t>
        </is>
      </c>
      <c r="M9" s="7" t="inlineStr">
        <is>
          <t>Calculer mon économie d'impôt</t>
        </is>
      </c>
      <c r="N9" s="7" t="n"/>
      <c r="O9" s="7" t="inlineStr">
        <is>
          <t>À faire</t>
        </is>
      </c>
      <c r="P9" s="7" t="n"/>
      <c r="Q9" s="7" t="n"/>
      <c r="R9" s="8" t="n"/>
      <c r="S9" s="8" t="n"/>
      <c r="T9" s="9">
        <f>IF(OR(R9="",R9=0),"",S9/R9)</f>
        <v/>
      </c>
      <c r="U9" s="8" t="n"/>
      <c r="V9" s="7" t="n"/>
    </row>
    <row r="10">
      <c r="A10" s="5">
        <f>IF(D10="","",ROW()-1)</f>
        <v/>
      </c>
      <c r="B10" s="6" t="n"/>
      <c r="C10" s="7" t="inlineStr">
        <is>
          <t>Idée</t>
        </is>
      </c>
      <c r="D10" s="7" t="inlineStr">
        <is>
          <t>Indépendante sans caisse de pension ? Tu peux déduire jusqu'à 20 % de ton revenu.</t>
        </is>
      </c>
      <c r="E10" s="7" t="inlineStr">
        <is>
          <t>Rendre l'avantage fiscal concret avec un exemple en CHF.</t>
        </is>
      </c>
      <c r="F10" s="7" t="inlineStr">
        <is>
          <t>Sofia (praticienne)</t>
        </is>
      </c>
      <c r="G10" s="7" t="inlineStr">
        <is>
          <t>3 - Connaît les solutions</t>
        </is>
      </c>
      <c r="H10" s="7" t="inlineStr">
        <is>
          <t>Éducation</t>
        </is>
      </c>
      <c r="I10" s="7" t="inlineStr">
        <is>
          <t>Instagram</t>
        </is>
      </c>
      <c r="J10" s="7" t="inlineStr">
        <is>
          <t>Reel</t>
        </is>
      </c>
      <c r="K10" s="7" t="inlineStr">
        <is>
          <t>L'Annexe by RG</t>
        </is>
      </c>
      <c r="L10" s="7" t="inlineStr">
        <is>
          <t>Tu</t>
        </is>
      </c>
      <c r="M10" s="7" t="inlineStr">
        <is>
          <t>Tester le simulateur</t>
        </is>
      </c>
      <c r="N10" s="7" t="inlineStr">
        <is>
          <t>Plafonds 3a 2026 : 7'258 / 36'288 CHF, 20 % du revenu (à valider en interne)</t>
        </is>
      </c>
      <c r="O10" s="7" t="inlineStr">
        <is>
          <t>À faire</t>
        </is>
      </c>
      <c r="P10" s="7" t="n"/>
      <c r="Q10" s="7" t="n"/>
      <c r="R10" s="8" t="n"/>
      <c r="S10" s="8" t="n"/>
      <c r="T10" s="9">
        <f>IF(OR(R10="",R10=0),"",S10/R10)</f>
        <v/>
      </c>
      <c r="U10" s="8" t="n"/>
      <c r="V10" s="7" t="n"/>
    </row>
    <row r="11">
      <c r="A11" s="5">
        <f>IF(D11="","",ROW()-1)</f>
        <v/>
      </c>
      <c r="B11" s="6" t="n"/>
      <c r="C11" s="7" t="inlineStr">
        <is>
          <t>Idée</t>
        </is>
      </c>
      <c r="D11" s="7" t="inlineStr">
        <is>
          <t>3a ou 3b ? Le guide en 60 secondes pour les indépendantes.</t>
        </is>
      </c>
      <c r="E11" s="7" t="inlineStr">
        <is>
          <t>Différences simples : fiscalité, disponibilité, flexibilité.</t>
        </is>
      </c>
      <c r="F11" s="7" t="inlineStr">
        <is>
          <t>Toutes</t>
        </is>
      </c>
      <c r="G11" s="7" t="inlineStr">
        <is>
          <t>3 - Connaît les solutions</t>
        </is>
      </c>
      <c r="H11" s="7" t="inlineStr">
        <is>
          <t>Éducation</t>
        </is>
      </c>
      <c r="I11" s="7" t="inlineStr">
        <is>
          <t>Instagram</t>
        </is>
      </c>
      <c r="J11" s="7" t="inlineStr">
        <is>
          <t>Reel</t>
        </is>
      </c>
      <c r="K11" s="7" t="inlineStr">
        <is>
          <t>L'Annexe by RG</t>
        </is>
      </c>
      <c r="L11" s="7" t="inlineStr">
        <is>
          <t>Tu</t>
        </is>
      </c>
      <c r="M11" s="7" t="inlineStr">
        <is>
          <t>Télécharger le guide</t>
        </is>
      </c>
      <c r="N11" s="7" t="n"/>
      <c r="O11" s="7" t="inlineStr">
        <is>
          <t>À faire</t>
        </is>
      </c>
      <c r="P11" s="7" t="n"/>
      <c r="Q11" s="7" t="n"/>
      <c r="R11" s="8" t="n"/>
      <c r="S11" s="8" t="n"/>
      <c r="T11" s="9">
        <f>IF(OR(R11="",R11=0),"",S11/R11)</f>
        <v/>
      </c>
      <c r="U11" s="8" t="n"/>
      <c r="V11" s="7" t="n"/>
    </row>
    <row r="12">
      <c r="A12" s="5">
        <f>IF(D12="","",ROW()-1)</f>
        <v/>
      </c>
      <c r="B12" s="6" t="n"/>
      <c r="C12" s="7" t="inlineStr">
        <is>
          <t>Idée</t>
        </is>
      </c>
      <c r="D12" s="7" t="inlineStr">
        <is>
          <t>Revenus irréguliers ? Ta prévoyance peut l'être aussi.</t>
        </is>
      </c>
      <c r="E12" s="7" t="inlineStr">
        <is>
          <t>Campagne Même les mois creux. VÉRIFIER la flexibilité des versements avec le produit.</t>
        </is>
      </c>
      <c r="F12" s="7" t="inlineStr">
        <is>
          <t>Sofia (praticienne)</t>
        </is>
      </c>
      <c r="G12" s="7" t="inlineStr">
        <is>
          <t>3 - Connaît les solutions</t>
        </is>
      </c>
      <c r="H12" s="7" t="inlineStr">
        <is>
          <t>Éducation</t>
        </is>
      </c>
      <c r="I12" s="7" t="inlineStr">
        <is>
          <t>Instagram</t>
        </is>
      </c>
      <c r="J12" s="7" t="inlineStr">
        <is>
          <t>Carrousel</t>
        </is>
      </c>
      <c r="K12" s="7" t="inlineStr">
        <is>
          <t>L'Annexe by RG</t>
        </is>
      </c>
      <c r="L12" s="7" t="inlineStr">
        <is>
          <t>Tu</t>
        </is>
      </c>
      <c r="M12" s="7" t="inlineStr">
        <is>
          <t>Voir comment ça marche</t>
        </is>
      </c>
      <c r="N12" s="7" t="n"/>
      <c r="O12" s="7" t="inlineStr">
        <is>
          <t>À faire</t>
        </is>
      </c>
      <c r="P12" s="7" t="n"/>
      <c r="Q12" s="7" t="n"/>
      <c r="R12" s="8" t="n"/>
      <c r="S12" s="8" t="n"/>
      <c r="T12" s="9">
        <f>IF(OR(R12="",R12=0),"",S12/R12)</f>
        <v/>
      </c>
      <c r="U12" s="8" t="n"/>
      <c r="V12" s="7" t="n"/>
    </row>
    <row r="13">
      <c r="A13" s="5">
        <f>IF(D13="","",ROW()-1)</f>
        <v/>
      </c>
      <c r="B13" s="6" t="n"/>
      <c r="C13" s="7" t="inlineStr">
        <is>
          <t>Idée</t>
        </is>
      </c>
      <c r="D13" s="7" t="inlineStr">
        <is>
          <t>Si je mets 100 CHF par mois dès 25 ans, j'aurai quoi à 65 ans ?</t>
        </is>
      </c>
      <c r="E13" s="7" t="inlineStr">
        <is>
          <t>Story sondage, puis réponse avec le simulateur capital 3a de L'Annexe.</t>
        </is>
      </c>
      <c r="F13" s="7" t="inlineStr">
        <is>
          <t>Maya (freelance)</t>
        </is>
      </c>
      <c r="G13" s="7" t="inlineStr">
        <is>
          <t>3 - Connaît les solutions</t>
        </is>
      </c>
      <c r="H13" s="7" t="inlineStr">
        <is>
          <t>Éducation</t>
        </is>
      </c>
      <c r="I13" s="7" t="inlineStr">
        <is>
          <t>Instagram</t>
        </is>
      </c>
      <c r="J13" s="7" t="inlineStr">
        <is>
          <t>Story</t>
        </is>
      </c>
      <c r="K13" s="7" t="inlineStr">
        <is>
          <t>L'Annexe by RG</t>
        </is>
      </c>
      <c r="L13" s="7" t="inlineStr">
        <is>
          <t>Tu</t>
        </is>
      </c>
      <c r="M13" s="7" t="inlineStr">
        <is>
          <t>Ouvrir le simulateur</t>
        </is>
      </c>
      <c r="N13" s="7" t="n"/>
      <c r="O13" s="7" t="inlineStr">
        <is>
          <t>À faire</t>
        </is>
      </c>
      <c r="P13" s="7" t="n"/>
      <c r="Q13" s="7" t="n"/>
      <c r="R13" s="8" t="n"/>
      <c r="S13" s="8" t="n"/>
      <c r="T13" s="9">
        <f>IF(OR(R13="",R13=0),"",S13/R13)</f>
        <v/>
      </c>
      <c r="U13" s="8" t="n"/>
      <c r="V13" s="7" t="n"/>
    </row>
    <row r="14">
      <c r="A14" s="5">
        <f>IF(D14="","",ROW()-1)</f>
        <v/>
      </c>
      <c r="B14" s="6" t="n"/>
      <c r="C14" s="7" t="inlineStr">
        <is>
          <t>Idée</t>
        </is>
      </c>
      <c r="D14" s="7" t="inlineStr">
        <is>
          <t>J'ai lancé ma boîte à 26 ans. Et j'ai ouvert mon 3a la même année.</t>
        </is>
      </c>
      <c r="E14" s="7" t="inlineStr">
        <is>
          <t>Témoignage d'une vraie cliente (consentement écrit).</t>
        </is>
      </c>
      <c r="F14" s="7" t="inlineStr">
        <is>
          <t>Inès (fondatrice start-up)</t>
        </is>
      </c>
      <c r="G14" s="7" t="inlineStr">
        <is>
          <t>4 - Connaît RG</t>
        </is>
      </c>
      <c r="H14" s="7" t="inlineStr">
        <is>
          <t>Preuve / Marque</t>
        </is>
      </c>
      <c r="I14" s="7" t="inlineStr">
        <is>
          <t>Instagram</t>
        </is>
      </c>
      <c r="J14" s="7" t="inlineStr">
        <is>
          <t>Reel</t>
        </is>
      </c>
      <c r="K14" s="7" t="inlineStr">
        <is>
          <t>L'Annexe by RG</t>
        </is>
      </c>
      <c r="L14" s="7" t="inlineStr">
        <is>
          <t>Tu</t>
        </is>
      </c>
      <c r="M14" s="7" t="inlineStr">
        <is>
          <t>Prendre rendez-vous</t>
        </is>
      </c>
      <c r="N14" s="7" t="n"/>
      <c r="O14" s="7" t="inlineStr">
        <is>
          <t>À faire</t>
        </is>
      </c>
      <c r="P14" s="7" t="n"/>
      <c r="Q14" s="7" t="n"/>
      <c r="R14" s="8" t="n"/>
      <c r="S14" s="8" t="n"/>
      <c r="T14" s="9">
        <f>IF(OR(R14="",R14=0),"",S14/R14)</f>
        <v/>
      </c>
      <c r="U14" s="8" t="n"/>
      <c r="V14" s="7" t="n"/>
    </row>
    <row r="15">
      <c r="A15" s="5">
        <f>IF(D15="","",ROW()-1)</f>
        <v/>
      </c>
      <c r="B15" s="6" t="n"/>
      <c r="C15" s="7" t="inlineStr">
        <is>
          <t>Idée</t>
        </is>
      </c>
      <c r="D15" s="7" t="inlineStr">
        <is>
          <t>Pourquoi une institution genevoise née en 1849 parle aux fondatrices d'aujourd'hui</t>
        </is>
      </c>
      <c r="E15" s="7" t="inlineStr">
        <is>
          <t>Mutuelle, pas d'actionnaires, conseil humain, ancrage local.</t>
        </is>
      </c>
      <c r="F15" s="7" t="inlineStr">
        <is>
          <t>Toutes</t>
        </is>
      </c>
      <c r="G15" s="7" t="inlineStr">
        <is>
          <t>4 - Connaît RG</t>
        </is>
      </c>
      <c r="H15" s="7" t="inlineStr">
        <is>
          <t>Preuve / Marque</t>
        </is>
      </c>
      <c r="I15" s="7" t="inlineStr">
        <is>
          <t>LinkedIn</t>
        </is>
      </c>
      <c r="J15" s="7" t="inlineStr">
        <is>
          <t>Vidéo</t>
        </is>
      </c>
      <c r="K15" s="7" t="inlineStr">
        <is>
          <t>Rentes Genevoises</t>
        </is>
      </c>
      <c r="L15" s="7" t="inlineStr">
        <is>
          <t>Vous</t>
        </is>
      </c>
      <c r="M15" s="7" t="inlineStr">
        <is>
          <t>Découvrir L'Annexe</t>
        </is>
      </c>
      <c r="N15" s="7" t="inlineStr">
        <is>
          <t>rentesgenevoises.ch – « À vos côtés depuis 1849 »</t>
        </is>
      </c>
      <c r="O15" s="7" t="inlineStr">
        <is>
          <t>À faire</t>
        </is>
      </c>
      <c r="P15" s="7" t="n"/>
      <c r="Q15" s="7" t="n"/>
      <c r="R15" s="8" t="n"/>
      <c r="S15" s="8" t="n"/>
      <c r="T15" s="9">
        <f>IF(OR(R15="",R15=0),"",S15/R15)</f>
        <v/>
      </c>
      <c r="U15" s="8" t="n"/>
      <c r="V15" s="7" t="n"/>
    </row>
    <row r="16">
      <c r="A16" s="5">
        <f>IF(D16="","",ROW()-1)</f>
        <v/>
      </c>
      <c r="B16" s="6" t="n"/>
      <c r="C16" s="7" t="inlineStr">
        <is>
          <t>Idée</t>
        </is>
      </c>
      <c r="D16" s="7" t="inlineStr">
        <is>
          <t>Dans les coulisses de L'Annexe : rencontre avec notre conseillère indépendantes</t>
        </is>
      </c>
      <c r="E16" s="7" t="inlineStr">
        <is>
          <t>Un visage humain, un prénom, ce qu'elle fait concrètement.</t>
        </is>
      </c>
      <c r="F16" s="7" t="inlineStr">
        <is>
          <t>Toutes</t>
        </is>
      </c>
      <c r="G16" s="7" t="inlineStr">
        <is>
          <t>4 - Connaît RG</t>
        </is>
      </c>
      <c r="H16" s="7" t="inlineStr">
        <is>
          <t>Preuve / Marque</t>
        </is>
      </c>
      <c r="I16" s="7" t="inlineStr">
        <is>
          <t>Instagram</t>
        </is>
      </c>
      <c r="J16" s="7" t="inlineStr">
        <is>
          <t>Story</t>
        </is>
      </c>
      <c r="K16" s="7" t="inlineStr">
        <is>
          <t>L'Annexe by RG</t>
        </is>
      </c>
      <c r="L16" s="7" t="inlineStr">
        <is>
          <t>Tu</t>
        </is>
      </c>
      <c r="M16" s="7" t="inlineStr">
        <is>
          <t>Poser une question</t>
        </is>
      </c>
      <c r="N16" s="7" t="n"/>
      <c r="O16" s="7" t="inlineStr">
        <is>
          <t>À faire</t>
        </is>
      </c>
      <c r="P16" s="7" t="n"/>
      <c r="Q16" s="7" t="n"/>
      <c r="R16" s="8" t="n"/>
      <c r="S16" s="8" t="n"/>
      <c r="T16" s="9">
        <f>IF(OR(R16="",R16=0),"",S16/R16)</f>
        <v/>
      </c>
      <c r="U16" s="8" t="n"/>
      <c r="V16" s="7" t="n"/>
    </row>
    <row r="17">
      <c r="A17" s="5">
        <f>IF(D17="","",ROW()-1)</f>
        <v/>
      </c>
      <c r="B17" s="6" t="n"/>
      <c r="C17" s="7" t="inlineStr">
        <is>
          <t>Idée</t>
        </is>
      </c>
      <c r="D17" s="7" t="inlineStr">
        <is>
          <t>Midi prévoyance : 1 heure, 10 entrepreneuses, zéro jargon.</t>
        </is>
      </c>
      <c r="E17" s="7" t="inlineStr">
        <is>
          <t>Promo de l'événement mensuel à L'Annexe (Rue du Port 3).</t>
        </is>
      </c>
      <c r="F17" s="7" t="inlineStr">
        <is>
          <t>Inès (fondatrice start-up)</t>
        </is>
      </c>
      <c r="G17" s="7" t="inlineStr">
        <is>
          <t>4 - Connaît RG</t>
        </is>
      </c>
      <c r="H17" s="7" t="inlineStr">
        <is>
          <t>Conversion</t>
        </is>
      </c>
      <c r="I17" s="7" t="inlineStr">
        <is>
          <t>LinkedIn</t>
        </is>
      </c>
      <c r="J17" s="7" t="inlineStr">
        <is>
          <t>Post image</t>
        </is>
      </c>
      <c r="K17" s="7" t="inlineStr">
        <is>
          <t>L'Annexe by RG</t>
        </is>
      </c>
      <c r="L17" s="7" t="inlineStr">
        <is>
          <t>Tu</t>
        </is>
      </c>
      <c r="M17" s="7" t="inlineStr">
        <is>
          <t>Réserver ma place</t>
        </is>
      </c>
      <c r="N17" s="7" t="n"/>
      <c r="O17" s="7" t="inlineStr">
        <is>
          <t>À faire</t>
        </is>
      </c>
      <c r="P17" s="7" t="n"/>
      <c r="Q17" s="7" t="n"/>
      <c r="R17" s="8" t="n"/>
      <c r="S17" s="8" t="n"/>
      <c r="T17" s="9">
        <f>IF(OR(R17="",R17=0),"",S17/R17)</f>
        <v/>
      </c>
      <c r="U17" s="8" t="n"/>
      <c r="V17" s="7" t="n"/>
    </row>
    <row r="18">
      <c r="A18" s="5">
        <f>IF(D18="","",ROW()-1)</f>
        <v/>
      </c>
      <c r="B18" s="6" t="n"/>
      <c r="C18" s="7" t="inlineStr">
        <is>
          <t>Idée</t>
        </is>
      </c>
      <c r="D18" s="7" t="inlineStr">
        <is>
          <t>Une question sur ta prévoyance ? Écris-nous sur WhatsApp, réponse en 24 h.</t>
        </is>
      </c>
      <c r="E18" s="7" t="inlineStr">
        <is>
          <t>Faire connaître le canal WhatsApp de L'Annexe.</t>
        </is>
      </c>
      <c r="F18" s="7" t="inlineStr">
        <is>
          <t>Sofia (praticienne)</t>
        </is>
      </c>
      <c r="G18" s="7" t="inlineStr">
        <is>
          <t>4 - Connaît RG</t>
        </is>
      </c>
      <c r="H18" s="7" t="inlineStr">
        <is>
          <t>Conversion</t>
        </is>
      </c>
      <c r="I18" s="7" t="inlineStr">
        <is>
          <t>Instagram</t>
        </is>
      </c>
      <c r="J18" s="7" t="inlineStr">
        <is>
          <t>Story</t>
        </is>
      </c>
      <c r="K18" s="7" t="inlineStr">
        <is>
          <t>L'Annexe by RG</t>
        </is>
      </c>
      <c r="L18" s="7" t="inlineStr">
        <is>
          <t>Tu</t>
        </is>
      </c>
      <c r="M18" s="7" t="inlineStr">
        <is>
          <t>Écrire sur WhatsApp</t>
        </is>
      </c>
      <c r="N18" s="7" t="n"/>
      <c r="O18" s="7" t="inlineStr">
        <is>
          <t>À faire</t>
        </is>
      </c>
      <c r="P18" s="7" t="n"/>
      <c r="Q18" s="7" t="n"/>
      <c r="R18" s="8" t="n"/>
      <c r="S18" s="8" t="n"/>
      <c r="T18" s="9">
        <f>IF(OR(R18="",R18=0),"",S18/R18)</f>
        <v/>
      </c>
      <c r="U18" s="8" t="n"/>
      <c r="V18" s="7" t="n"/>
    </row>
    <row r="19">
      <c r="A19" s="5">
        <f>IF(D19="","",ROW()-1)</f>
        <v/>
      </c>
      <c r="B19" s="6" t="n"/>
      <c r="C19" s="7" t="inlineStr">
        <is>
          <t>Idée</t>
        </is>
      </c>
      <c r="D19" s="7" t="inlineStr">
        <is>
          <t>31 décembre : dernière chance de réduire tes impôts de l'année.</t>
        </is>
      </c>
      <c r="E19" s="7" t="inlineStr">
        <is>
          <t>Rappel fiscal, urgence douce. Publier fin novembre et mi-décembre.</t>
        </is>
      </c>
      <c r="F19" s="7" t="inlineStr">
        <is>
          <t>Toutes</t>
        </is>
      </c>
      <c r="G19" s="7" t="inlineStr">
        <is>
          <t>5 - Prête</t>
        </is>
      </c>
      <c r="H19" s="7" t="inlineStr">
        <is>
          <t>Conversion</t>
        </is>
      </c>
      <c r="I19" s="7" t="inlineStr">
        <is>
          <t>Instagram</t>
        </is>
      </c>
      <c r="J19" s="7" t="inlineStr">
        <is>
          <t>Story</t>
        </is>
      </c>
      <c r="K19" s="7" t="inlineStr">
        <is>
          <t>L'Annexe by RG</t>
        </is>
      </c>
      <c r="L19" s="7" t="inlineStr">
        <is>
          <t>Tu</t>
        </is>
      </c>
      <c r="M19" s="7" t="inlineStr">
        <is>
          <t>Prendre rendez-vous</t>
        </is>
      </c>
      <c r="N19" s="7" t="inlineStr">
        <is>
          <t>Plafonds 3a 2026 : 7'258 / 36'288 CHF, 20 % du revenu (à valider en interne)</t>
        </is>
      </c>
      <c r="O19" s="7" t="inlineStr">
        <is>
          <t>À faire</t>
        </is>
      </c>
      <c r="P19" s="7" t="n"/>
      <c r="Q19" s="7" t="n"/>
      <c r="R19" s="8" t="n"/>
      <c r="S19" s="8" t="n"/>
      <c r="T19" s="9">
        <f>IF(OR(R19="",R19=0),"",S19/R19)</f>
        <v/>
      </c>
      <c r="U19" s="8" t="n"/>
      <c r="V19" s="7" t="n"/>
    </row>
    <row r="20">
      <c r="A20" s="5">
        <f>IF(D20="","",ROW()-1)</f>
        <v/>
      </c>
      <c r="B20" s="6" t="n"/>
      <c r="C20" s="7" t="inlineStr">
        <is>
          <t>Idée</t>
        </is>
      </c>
      <c r="D20" s="7" t="inlineStr">
        <is>
          <t>Il te reste jusqu'au 31 décembre pour verser sur ton 3a</t>
        </is>
      </c>
      <c r="E20" s="7" t="inlineStr">
        <is>
          <t>Newsletter de novembre avec lien simulateur + RDV.</t>
        </is>
      </c>
      <c r="F20" s="7" t="inlineStr">
        <is>
          <t>Toutes</t>
        </is>
      </c>
      <c r="G20" s="7" t="inlineStr">
        <is>
          <t>5 - Prête</t>
        </is>
      </c>
      <c r="H20" s="7" t="inlineStr">
        <is>
          <t>Conversion</t>
        </is>
      </c>
      <c r="I20" s="7" t="inlineStr">
        <is>
          <t>Newsletter</t>
        </is>
      </c>
      <c r="J20" s="7" t="inlineStr">
        <is>
          <t>E-mail</t>
        </is>
      </c>
      <c r="K20" s="7" t="inlineStr">
        <is>
          <t>L'Annexe by RG</t>
        </is>
      </c>
      <c r="L20" s="7" t="inlineStr">
        <is>
          <t>Tu</t>
        </is>
      </c>
      <c r="M20" s="7" t="inlineStr">
        <is>
          <t>Prendre rendez-vous</t>
        </is>
      </c>
      <c r="N20" s="7" t="inlineStr">
        <is>
          <t>Plafonds 3a 2026 : 7'258 / 36'288 CHF, 20 % du revenu (à valider en interne)</t>
        </is>
      </c>
      <c r="O20" s="7" t="inlineStr">
        <is>
          <t>À faire</t>
        </is>
      </c>
      <c r="P20" s="7" t="n"/>
      <c r="Q20" s="7" t="n"/>
      <c r="R20" s="8" t="n"/>
      <c r="S20" s="8" t="n"/>
      <c r="T20" s="9">
        <f>IF(OR(R20="",R20=0),"",S20/R20)</f>
        <v/>
      </c>
      <c r="U20" s="8" t="n"/>
      <c r="V20" s="7" t="n"/>
    </row>
    <row r="21">
      <c r="A21" s="5">
        <f>IF(D21="","",ROW()-1)</f>
        <v/>
      </c>
      <c r="B21" s="6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8" t="n"/>
      <c r="S21" s="8" t="n"/>
      <c r="T21" s="9">
        <f>IF(OR(R21="",R21=0),"",S21/R21)</f>
        <v/>
      </c>
      <c r="U21" s="8" t="n"/>
      <c r="V21" s="7" t="n"/>
    </row>
    <row r="22">
      <c r="A22" s="5">
        <f>IF(D22="","",ROW()-1)</f>
        <v/>
      </c>
      <c r="B22" s="6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8" t="n"/>
      <c r="S22" s="8" t="n"/>
      <c r="T22" s="9">
        <f>IF(OR(R22="",R22=0),"",S22/R22)</f>
        <v/>
      </c>
      <c r="U22" s="8" t="n"/>
      <c r="V22" s="7" t="n"/>
    </row>
    <row r="23">
      <c r="A23" s="5">
        <f>IF(D23="","",ROW()-1)</f>
        <v/>
      </c>
      <c r="B23" s="6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8" t="n"/>
      <c r="S23" s="8" t="n"/>
      <c r="T23" s="9">
        <f>IF(OR(R23="",R23=0),"",S23/R23)</f>
        <v/>
      </c>
      <c r="U23" s="8" t="n"/>
      <c r="V23" s="7" t="n"/>
    </row>
    <row r="24">
      <c r="A24" s="5">
        <f>IF(D24="","",ROW()-1)</f>
        <v/>
      </c>
      <c r="B24" s="6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8" t="n"/>
      <c r="S24" s="8" t="n"/>
      <c r="T24" s="9">
        <f>IF(OR(R24="",R24=0),"",S24/R24)</f>
        <v/>
      </c>
      <c r="U24" s="8" t="n"/>
      <c r="V24" s="7" t="n"/>
    </row>
    <row r="25">
      <c r="A25" s="5">
        <f>IF(D25="","",ROW()-1)</f>
        <v/>
      </c>
      <c r="B25" s="6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8" t="n"/>
      <c r="S25" s="8" t="n"/>
      <c r="T25" s="9">
        <f>IF(OR(R25="",R25=0),"",S25/R25)</f>
        <v/>
      </c>
      <c r="U25" s="8" t="n"/>
      <c r="V25" s="7" t="n"/>
    </row>
    <row r="26">
      <c r="A26" s="5">
        <f>IF(D26="","",ROW()-1)</f>
        <v/>
      </c>
      <c r="B26" s="6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8" t="n"/>
      <c r="S26" s="8" t="n"/>
      <c r="T26" s="9">
        <f>IF(OR(R26="",R26=0),"",S26/R26)</f>
        <v/>
      </c>
      <c r="U26" s="8" t="n"/>
      <c r="V26" s="7" t="n"/>
    </row>
    <row r="27">
      <c r="A27" s="5">
        <f>IF(D27="","",ROW()-1)</f>
        <v/>
      </c>
      <c r="B27" s="6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8" t="n"/>
      <c r="S27" s="8" t="n"/>
      <c r="T27" s="9">
        <f>IF(OR(R27="",R27=0),"",S27/R27)</f>
        <v/>
      </c>
      <c r="U27" s="8" t="n"/>
      <c r="V27" s="7" t="n"/>
    </row>
    <row r="28">
      <c r="A28" s="5">
        <f>IF(D28="","",ROW()-1)</f>
        <v/>
      </c>
      <c r="B28" s="6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8" t="n"/>
      <c r="S28" s="8" t="n"/>
      <c r="T28" s="9">
        <f>IF(OR(R28="",R28=0),"",S28/R28)</f>
        <v/>
      </c>
      <c r="U28" s="8" t="n"/>
      <c r="V28" s="7" t="n"/>
    </row>
    <row r="29">
      <c r="A29" s="5">
        <f>IF(D29="","",ROW()-1)</f>
        <v/>
      </c>
      <c r="B29" s="6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8" t="n"/>
      <c r="S29" s="8" t="n"/>
      <c r="T29" s="9">
        <f>IF(OR(R29="",R29=0),"",S29/R29)</f>
        <v/>
      </c>
      <c r="U29" s="8" t="n"/>
      <c r="V29" s="7" t="n"/>
    </row>
    <row r="30">
      <c r="A30" s="5">
        <f>IF(D30="","",ROW()-1)</f>
        <v/>
      </c>
      <c r="B30" s="6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8" t="n"/>
      <c r="S30" s="8" t="n"/>
      <c r="T30" s="9">
        <f>IF(OR(R30="",R30=0),"",S30/R30)</f>
        <v/>
      </c>
      <c r="U30" s="8" t="n"/>
      <c r="V30" s="7" t="n"/>
    </row>
    <row r="31">
      <c r="A31" s="5">
        <f>IF(D31="","",ROW()-1)</f>
        <v/>
      </c>
      <c r="B31" s="6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8" t="n"/>
      <c r="S31" s="8" t="n"/>
      <c r="T31" s="9">
        <f>IF(OR(R31="",R31=0),"",S31/R31)</f>
        <v/>
      </c>
      <c r="U31" s="8" t="n"/>
      <c r="V31" s="7" t="n"/>
    </row>
    <row r="32">
      <c r="A32" s="5">
        <f>IF(D32="","",ROW()-1)</f>
        <v/>
      </c>
      <c r="B32" s="6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8" t="n"/>
      <c r="S32" s="8" t="n"/>
      <c r="T32" s="9">
        <f>IF(OR(R32="",R32=0),"",S32/R32)</f>
        <v/>
      </c>
      <c r="U32" s="8" t="n"/>
      <c r="V32" s="7" t="n"/>
    </row>
    <row r="33">
      <c r="A33" s="5">
        <f>IF(D33="","",ROW()-1)</f>
        <v/>
      </c>
      <c r="B33" s="6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8" t="n"/>
      <c r="S33" s="8" t="n"/>
      <c r="T33" s="9">
        <f>IF(OR(R33="",R33=0),"",S33/R33)</f>
        <v/>
      </c>
      <c r="U33" s="8" t="n"/>
      <c r="V33" s="7" t="n"/>
    </row>
    <row r="34">
      <c r="A34" s="5">
        <f>IF(D34="","",ROW()-1)</f>
        <v/>
      </c>
      <c r="B34" s="6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8" t="n"/>
      <c r="S34" s="8" t="n"/>
      <c r="T34" s="9">
        <f>IF(OR(R34="",R34=0),"",S34/R34)</f>
        <v/>
      </c>
      <c r="U34" s="8" t="n"/>
      <c r="V34" s="7" t="n"/>
    </row>
    <row r="35">
      <c r="A35" s="5">
        <f>IF(D35="","",ROW()-1)</f>
        <v/>
      </c>
      <c r="B35" s="6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8" t="n"/>
      <c r="S35" s="8" t="n"/>
      <c r="T35" s="9">
        <f>IF(OR(R35="",R35=0),"",S35/R35)</f>
        <v/>
      </c>
      <c r="U35" s="8" t="n"/>
      <c r="V35" s="7" t="n"/>
    </row>
    <row r="36">
      <c r="A36" s="5">
        <f>IF(D36="","",ROW()-1)</f>
        <v/>
      </c>
      <c r="B36" s="6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8" t="n"/>
      <c r="S36" s="8" t="n"/>
      <c r="T36" s="9">
        <f>IF(OR(R36="",R36=0),"",S36/R36)</f>
        <v/>
      </c>
      <c r="U36" s="8" t="n"/>
      <c r="V36" s="7" t="n"/>
    </row>
    <row r="37">
      <c r="A37" s="5">
        <f>IF(D37="","",ROW()-1)</f>
        <v/>
      </c>
      <c r="B37" s="6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8" t="n"/>
      <c r="S37" s="8" t="n"/>
      <c r="T37" s="9">
        <f>IF(OR(R37="",R37=0),"",S37/R37)</f>
        <v/>
      </c>
      <c r="U37" s="8" t="n"/>
      <c r="V37" s="7" t="n"/>
    </row>
    <row r="38">
      <c r="A38" s="5">
        <f>IF(D38="","",ROW()-1)</f>
        <v/>
      </c>
      <c r="B38" s="6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8" t="n"/>
      <c r="S38" s="8" t="n"/>
      <c r="T38" s="9">
        <f>IF(OR(R38="",R38=0),"",S38/R38)</f>
        <v/>
      </c>
      <c r="U38" s="8" t="n"/>
      <c r="V38" s="7" t="n"/>
    </row>
    <row r="39">
      <c r="A39" s="5">
        <f>IF(D39="","",ROW()-1)</f>
        <v/>
      </c>
      <c r="B39" s="6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8" t="n"/>
      <c r="S39" s="8" t="n"/>
      <c r="T39" s="9">
        <f>IF(OR(R39="",R39=0),"",S39/R39)</f>
        <v/>
      </c>
      <c r="U39" s="8" t="n"/>
      <c r="V39" s="7" t="n"/>
    </row>
    <row r="40">
      <c r="A40" s="5">
        <f>IF(D40="","",ROW()-1)</f>
        <v/>
      </c>
      <c r="B40" s="6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8" t="n"/>
      <c r="S40" s="8" t="n"/>
      <c r="T40" s="9">
        <f>IF(OR(R40="",R40=0),"",S40/R40)</f>
        <v/>
      </c>
      <c r="U40" s="8" t="n"/>
      <c r="V40" s="7" t="n"/>
    </row>
    <row r="41">
      <c r="A41" s="5">
        <f>IF(D41="","",ROW()-1)</f>
        <v/>
      </c>
      <c r="B41" s="6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8" t="n"/>
      <c r="S41" s="8" t="n"/>
      <c r="T41" s="9">
        <f>IF(OR(R41="",R41=0),"",S41/R41)</f>
        <v/>
      </c>
      <c r="U41" s="8" t="n"/>
      <c r="V41" s="7" t="n"/>
    </row>
    <row r="42">
      <c r="A42" s="5">
        <f>IF(D42="","",ROW()-1)</f>
        <v/>
      </c>
      <c r="B42" s="6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8" t="n"/>
      <c r="S42" s="8" t="n"/>
      <c r="T42" s="9">
        <f>IF(OR(R42="",R42=0),"",S42/R42)</f>
        <v/>
      </c>
      <c r="U42" s="8" t="n"/>
      <c r="V42" s="7" t="n"/>
    </row>
    <row r="43">
      <c r="A43" s="5">
        <f>IF(D43="","",ROW()-1)</f>
        <v/>
      </c>
      <c r="B43" s="6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n"/>
      <c r="S43" s="8" t="n"/>
      <c r="T43" s="9">
        <f>IF(OR(R43="",R43=0),"",S43/R43)</f>
        <v/>
      </c>
      <c r="U43" s="8" t="n"/>
      <c r="V43" s="7" t="n"/>
    </row>
    <row r="44">
      <c r="A44" s="5">
        <f>IF(D44="","",ROW()-1)</f>
        <v/>
      </c>
      <c r="B44" s="6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8" t="n"/>
      <c r="S44" s="8" t="n"/>
      <c r="T44" s="9">
        <f>IF(OR(R44="",R44=0),"",S44/R44)</f>
        <v/>
      </c>
      <c r="U44" s="8" t="n"/>
      <c r="V44" s="7" t="n"/>
    </row>
    <row r="45">
      <c r="A45" s="5">
        <f>IF(D45="","",ROW()-1)</f>
        <v/>
      </c>
      <c r="B45" s="6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8" t="n"/>
      <c r="S45" s="8" t="n"/>
      <c r="T45" s="9">
        <f>IF(OR(R45="",R45=0),"",S45/R45)</f>
        <v/>
      </c>
      <c r="U45" s="8" t="n"/>
      <c r="V45" s="7" t="n"/>
    </row>
    <row r="46">
      <c r="A46" s="5">
        <f>IF(D46="","",ROW()-1)</f>
        <v/>
      </c>
      <c r="B46" s="6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8" t="n"/>
      <c r="S46" s="8" t="n"/>
      <c r="T46" s="9">
        <f>IF(OR(R46="",R46=0),"",S46/R46)</f>
        <v/>
      </c>
      <c r="U46" s="8" t="n"/>
      <c r="V46" s="7" t="n"/>
    </row>
    <row r="47">
      <c r="A47" s="5">
        <f>IF(D47="","",ROW()-1)</f>
        <v/>
      </c>
      <c r="B47" s="6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8" t="n"/>
      <c r="S47" s="8" t="n"/>
      <c r="T47" s="9">
        <f>IF(OR(R47="",R47=0),"",S47/R47)</f>
        <v/>
      </c>
      <c r="U47" s="8" t="n"/>
      <c r="V47" s="7" t="n"/>
    </row>
    <row r="48">
      <c r="A48" s="5">
        <f>IF(D48="","",ROW()-1)</f>
        <v/>
      </c>
      <c r="B48" s="6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8" t="n"/>
      <c r="S48" s="8" t="n"/>
      <c r="T48" s="9">
        <f>IF(OR(R48="",R48=0),"",S48/R48)</f>
        <v/>
      </c>
      <c r="U48" s="8" t="n"/>
      <c r="V48" s="7" t="n"/>
    </row>
    <row r="49">
      <c r="A49" s="5">
        <f>IF(D49="","",ROW()-1)</f>
        <v/>
      </c>
      <c r="B49" s="6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8" t="n"/>
      <c r="S49" s="8" t="n"/>
      <c r="T49" s="9">
        <f>IF(OR(R49="",R49=0),"",S49/R49)</f>
        <v/>
      </c>
      <c r="U49" s="8" t="n"/>
      <c r="V49" s="7" t="n"/>
    </row>
    <row r="50">
      <c r="A50" s="5">
        <f>IF(D50="","",ROW()-1)</f>
        <v/>
      </c>
      <c r="B50" s="6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8" t="n"/>
      <c r="S50" s="8" t="n"/>
      <c r="T50" s="9">
        <f>IF(OR(R50="",R50=0),"",S50/R50)</f>
        <v/>
      </c>
      <c r="U50" s="8" t="n"/>
      <c r="V50" s="7" t="n"/>
    </row>
    <row r="51">
      <c r="A51" s="5">
        <f>IF(D51="","",ROW()-1)</f>
        <v/>
      </c>
      <c r="B51" s="6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8" t="n"/>
      <c r="S51" s="8" t="n"/>
      <c r="T51" s="9">
        <f>IF(OR(R51="",R51=0),"",S51/R51)</f>
        <v/>
      </c>
      <c r="U51" s="8" t="n"/>
      <c r="V51" s="7" t="n"/>
    </row>
    <row r="52">
      <c r="A52" s="5">
        <f>IF(D52="","",ROW()-1)</f>
        <v/>
      </c>
      <c r="B52" s="6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8" t="n"/>
      <c r="S52" s="8" t="n"/>
      <c r="T52" s="9">
        <f>IF(OR(R52="",R52=0),"",S52/R52)</f>
        <v/>
      </c>
      <c r="U52" s="8" t="n"/>
      <c r="V52" s="7" t="n"/>
    </row>
    <row r="53">
      <c r="A53" s="5">
        <f>IF(D53="","",ROW()-1)</f>
        <v/>
      </c>
      <c r="B53" s="6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8" t="n"/>
      <c r="S53" s="8" t="n"/>
      <c r="T53" s="9">
        <f>IF(OR(R53="",R53=0),"",S53/R53)</f>
        <v/>
      </c>
      <c r="U53" s="8" t="n"/>
      <c r="V53" s="7" t="n"/>
    </row>
    <row r="54">
      <c r="A54" s="5">
        <f>IF(D54="","",ROW()-1)</f>
        <v/>
      </c>
      <c r="B54" s="6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8" t="n"/>
      <c r="S54" s="8" t="n"/>
      <c r="T54" s="9">
        <f>IF(OR(R54="",R54=0),"",S54/R54)</f>
        <v/>
      </c>
      <c r="U54" s="8" t="n"/>
      <c r="V54" s="7" t="n"/>
    </row>
    <row r="55">
      <c r="A55" s="5">
        <f>IF(D55="","",ROW()-1)</f>
        <v/>
      </c>
      <c r="B55" s="6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/>
      <c r="S55" s="8" t="n"/>
      <c r="T55" s="9">
        <f>IF(OR(R55="",R55=0),"",S55/R55)</f>
        <v/>
      </c>
      <c r="U55" s="8" t="n"/>
      <c r="V55" s="7" t="n"/>
    </row>
    <row r="56">
      <c r="A56" s="5">
        <f>IF(D56="","",ROW()-1)</f>
        <v/>
      </c>
      <c r="B56" s="6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8" t="n"/>
      <c r="S56" s="8" t="n"/>
      <c r="T56" s="9">
        <f>IF(OR(R56="",R56=0),"",S56/R56)</f>
        <v/>
      </c>
      <c r="U56" s="8" t="n"/>
      <c r="V56" s="7" t="n"/>
    </row>
    <row r="57">
      <c r="A57" s="5">
        <f>IF(D57="","",ROW()-1)</f>
        <v/>
      </c>
      <c r="B57" s="6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8" t="n"/>
      <c r="S57" s="8" t="n"/>
      <c r="T57" s="9">
        <f>IF(OR(R57="",R57=0),"",S57/R57)</f>
        <v/>
      </c>
      <c r="U57" s="8" t="n"/>
      <c r="V57" s="7" t="n"/>
    </row>
    <row r="58">
      <c r="A58" s="5">
        <f>IF(D58="","",ROW()-1)</f>
        <v/>
      </c>
      <c r="B58" s="6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8" t="n"/>
      <c r="S58" s="8" t="n"/>
      <c r="T58" s="9">
        <f>IF(OR(R58="",R58=0),"",S58/R58)</f>
        <v/>
      </c>
      <c r="U58" s="8" t="n"/>
      <c r="V58" s="7" t="n"/>
    </row>
    <row r="59">
      <c r="A59" s="5">
        <f>IF(D59="","",ROW()-1)</f>
        <v/>
      </c>
      <c r="B59" s="6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8" t="n"/>
      <c r="S59" s="8" t="n"/>
      <c r="T59" s="9">
        <f>IF(OR(R59="",R59=0),"",S59/R59)</f>
        <v/>
      </c>
      <c r="U59" s="8" t="n"/>
      <c r="V59" s="7" t="n"/>
    </row>
    <row r="60">
      <c r="A60" s="5">
        <f>IF(D60="","",ROW()-1)</f>
        <v/>
      </c>
      <c r="B60" s="6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8" t="n"/>
      <c r="S60" s="8" t="n"/>
      <c r="T60" s="9">
        <f>IF(OR(R60="",R60=0),"",S60/R60)</f>
        <v/>
      </c>
      <c r="U60" s="8" t="n"/>
      <c r="V60" s="7" t="n"/>
    </row>
    <row r="61">
      <c r="A61" s="5">
        <f>IF(D61="","",ROW()-1)</f>
        <v/>
      </c>
      <c r="B61" s="6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8" t="n"/>
      <c r="S61" s="8" t="n"/>
      <c r="T61" s="9">
        <f>IF(OR(R61="",R61=0),"",S61/R61)</f>
        <v/>
      </c>
      <c r="U61" s="8" t="n"/>
      <c r="V61" s="7" t="n"/>
    </row>
    <row r="62">
      <c r="A62" s="5">
        <f>IF(D62="","",ROW()-1)</f>
        <v/>
      </c>
      <c r="B62" s="6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8" t="n"/>
      <c r="S62" s="8" t="n"/>
      <c r="T62" s="9">
        <f>IF(OR(R62="",R62=0),"",S62/R62)</f>
        <v/>
      </c>
      <c r="U62" s="8" t="n"/>
      <c r="V62" s="7" t="n"/>
    </row>
    <row r="63">
      <c r="A63" s="5">
        <f>IF(D63="","",ROW()-1)</f>
        <v/>
      </c>
      <c r="B63" s="6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8" t="n"/>
      <c r="S63" s="8" t="n"/>
      <c r="T63" s="9">
        <f>IF(OR(R63="",R63=0),"",S63/R63)</f>
        <v/>
      </c>
      <c r="U63" s="8" t="n"/>
      <c r="V63" s="7" t="n"/>
    </row>
    <row r="64">
      <c r="A64" s="5">
        <f>IF(D64="","",ROW()-1)</f>
        <v/>
      </c>
      <c r="B64" s="6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8" t="n"/>
      <c r="S64" s="8" t="n"/>
      <c r="T64" s="9">
        <f>IF(OR(R64="",R64=0),"",S64/R64)</f>
        <v/>
      </c>
      <c r="U64" s="8" t="n"/>
      <c r="V64" s="7" t="n"/>
    </row>
    <row r="65">
      <c r="A65" s="5">
        <f>IF(D65="","",ROW()-1)</f>
        <v/>
      </c>
      <c r="B65" s="6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8" t="n"/>
      <c r="S65" s="8" t="n"/>
      <c r="T65" s="9">
        <f>IF(OR(R65="",R65=0),"",S65/R65)</f>
        <v/>
      </c>
      <c r="U65" s="8" t="n"/>
      <c r="V65" s="7" t="n"/>
    </row>
    <row r="66">
      <c r="A66" s="5">
        <f>IF(D66="","",ROW()-1)</f>
        <v/>
      </c>
      <c r="B66" s="6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8" t="n"/>
      <c r="S66" s="8" t="n"/>
      <c r="T66" s="9">
        <f>IF(OR(R66="",R66=0),"",S66/R66)</f>
        <v/>
      </c>
      <c r="U66" s="8" t="n"/>
      <c r="V66" s="7" t="n"/>
    </row>
    <row r="67">
      <c r="A67" s="5">
        <f>IF(D67="","",ROW()-1)</f>
        <v/>
      </c>
      <c r="B67" s="6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8" t="n"/>
      <c r="S67" s="8" t="n"/>
      <c r="T67" s="9">
        <f>IF(OR(R67="",R67=0),"",S67/R67)</f>
        <v/>
      </c>
      <c r="U67" s="8" t="n"/>
      <c r="V67" s="7" t="n"/>
    </row>
    <row r="68">
      <c r="A68" s="5">
        <f>IF(D68="","",ROW()-1)</f>
        <v/>
      </c>
      <c r="B68" s="6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8" t="n"/>
      <c r="S68" s="8" t="n"/>
      <c r="T68" s="9">
        <f>IF(OR(R68="",R68=0),"",S68/R68)</f>
        <v/>
      </c>
      <c r="U68" s="8" t="n"/>
      <c r="V68" s="7" t="n"/>
    </row>
    <row r="69">
      <c r="A69" s="5">
        <f>IF(D69="","",ROW()-1)</f>
        <v/>
      </c>
      <c r="B69" s="6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8" t="n"/>
      <c r="S69" s="8" t="n"/>
      <c r="T69" s="9">
        <f>IF(OR(R69="",R69=0),"",S69/R69)</f>
        <v/>
      </c>
      <c r="U69" s="8" t="n"/>
      <c r="V69" s="7" t="n"/>
    </row>
    <row r="70">
      <c r="A70" s="5">
        <f>IF(D70="","",ROW()-1)</f>
        <v/>
      </c>
      <c r="B70" s="6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8" t="n"/>
      <c r="S70" s="8" t="n"/>
      <c r="T70" s="9">
        <f>IF(OR(R70="",R70=0),"",S70/R70)</f>
        <v/>
      </c>
      <c r="U70" s="8" t="n"/>
      <c r="V70" s="7" t="n"/>
    </row>
    <row r="71">
      <c r="A71" s="5">
        <f>IF(D71="","",ROW()-1)</f>
        <v/>
      </c>
      <c r="B71" s="6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8" t="n"/>
      <c r="S71" s="8" t="n"/>
      <c r="T71" s="9">
        <f>IF(OR(R71="",R71=0),"",S71/R71)</f>
        <v/>
      </c>
      <c r="U71" s="8" t="n"/>
      <c r="V71" s="7" t="n"/>
    </row>
    <row r="72">
      <c r="A72" s="5">
        <f>IF(D72="","",ROW()-1)</f>
        <v/>
      </c>
      <c r="B72" s="6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8" t="n"/>
      <c r="S72" s="8" t="n"/>
      <c r="T72" s="9">
        <f>IF(OR(R72="",R72=0),"",S72/R72)</f>
        <v/>
      </c>
      <c r="U72" s="8" t="n"/>
      <c r="V72" s="7" t="n"/>
    </row>
    <row r="73">
      <c r="A73" s="5">
        <f>IF(D73="","",ROW()-1)</f>
        <v/>
      </c>
      <c r="B73" s="6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8" t="n"/>
      <c r="S73" s="8" t="n"/>
      <c r="T73" s="9">
        <f>IF(OR(R73="",R73=0),"",S73/R73)</f>
        <v/>
      </c>
      <c r="U73" s="8" t="n"/>
      <c r="V73" s="7" t="n"/>
    </row>
    <row r="74">
      <c r="A74" s="5">
        <f>IF(D74="","",ROW()-1)</f>
        <v/>
      </c>
      <c r="B74" s="6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8" t="n"/>
      <c r="S74" s="8" t="n"/>
      <c r="T74" s="9">
        <f>IF(OR(R74="",R74=0),"",S74/R74)</f>
        <v/>
      </c>
      <c r="U74" s="8" t="n"/>
      <c r="V74" s="7" t="n"/>
    </row>
    <row r="75">
      <c r="A75" s="5">
        <f>IF(D75="","",ROW()-1)</f>
        <v/>
      </c>
      <c r="B75" s="6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8" t="n"/>
      <c r="S75" s="8" t="n"/>
      <c r="T75" s="9">
        <f>IF(OR(R75="",R75=0),"",S75/R75)</f>
        <v/>
      </c>
      <c r="U75" s="8" t="n"/>
      <c r="V75" s="7" t="n"/>
    </row>
    <row r="76">
      <c r="A76" s="5">
        <f>IF(D76="","",ROW()-1)</f>
        <v/>
      </c>
      <c r="B76" s="6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8" t="n"/>
      <c r="S76" s="8" t="n"/>
      <c r="T76" s="9">
        <f>IF(OR(R76="",R76=0),"",S76/R76)</f>
        <v/>
      </c>
      <c r="U76" s="8" t="n"/>
      <c r="V76" s="7" t="n"/>
    </row>
    <row r="77">
      <c r="A77" s="5">
        <f>IF(D77="","",ROW()-1)</f>
        <v/>
      </c>
      <c r="B77" s="6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8" t="n"/>
      <c r="S77" s="8" t="n"/>
      <c r="T77" s="9">
        <f>IF(OR(R77="",R77=0),"",S77/R77)</f>
        <v/>
      </c>
      <c r="U77" s="8" t="n"/>
      <c r="V77" s="7" t="n"/>
    </row>
    <row r="78">
      <c r="A78" s="5">
        <f>IF(D78="","",ROW()-1)</f>
        <v/>
      </c>
      <c r="B78" s="6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8" t="n"/>
      <c r="S78" s="8" t="n"/>
      <c r="T78" s="9">
        <f>IF(OR(R78="",R78=0),"",S78/R78)</f>
        <v/>
      </c>
      <c r="U78" s="8" t="n"/>
      <c r="V78" s="7" t="n"/>
    </row>
    <row r="79">
      <c r="A79" s="5">
        <f>IF(D79="","",ROW()-1)</f>
        <v/>
      </c>
      <c r="B79" s="6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8" t="n"/>
      <c r="S79" s="8" t="n"/>
      <c r="T79" s="9">
        <f>IF(OR(R79="",R79=0),"",S79/R79)</f>
        <v/>
      </c>
      <c r="U79" s="8" t="n"/>
      <c r="V79" s="7" t="n"/>
    </row>
    <row r="80">
      <c r="A80" s="5">
        <f>IF(D80="","",ROW()-1)</f>
        <v/>
      </c>
      <c r="B80" s="6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8" t="n"/>
      <c r="S80" s="8" t="n"/>
      <c r="T80" s="9">
        <f>IF(OR(R80="",R80=0),"",S80/R80)</f>
        <v/>
      </c>
      <c r="U80" s="8" t="n"/>
      <c r="V80" s="7" t="n"/>
    </row>
    <row r="81">
      <c r="A81" s="5">
        <f>IF(D81="","",ROW()-1)</f>
        <v/>
      </c>
      <c r="B81" s="6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8" t="n"/>
      <c r="S81" s="8" t="n"/>
      <c r="T81" s="9">
        <f>IF(OR(R81="",R81=0),"",S81/R81)</f>
        <v/>
      </c>
      <c r="U81" s="8" t="n"/>
      <c r="V81" s="7" t="n"/>
    </row>
    <row r="82">
      <c r="A82" s="5">
        <f>IF(D82="","",ROW()-1)</f>
        <v/>
      </c>
      <c r="B82" s="6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8" t="n"/>
      <c r="S82" s="8" t="n"/>
      <c r="T82" s="9">
        <f>IF(OR(R82="",R82=0),"",S82/R82)</f>
        <v/>
      </c>
      <c r="U82" s="8" t="n"/>
      <c r="V82" s="7" t="n"/>
    </row>
    <row r="83">
      <c r="A83" s="5">
        <f>IF(D83="","",ROW()-1)</f>
        <v/>
      </c>
      <c r="B83" s="6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8" t="n"/>
      <c r="S83" s="8" t="n"/>
      <c r="T83" s="9">
        <f>IF(OR(R83="",R83=0),"",S83/R83)</f>
        <v/>
      </c>
      <c r="U83" s="8" t="n"/>
      <c r="V83" s="7" t="n"/>
    </row>
    <row r="84">
      <c r="A84" s="5">
        <f>IF(D84="","",ROW()-1)</f>
        <v/>
      </c>
      <c r="B84" s="6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8" t="n"/>
      <c r="S84" s="8" t="n"/>
      <c r="T84" s="9">
        <f>IF(OR(R84="",R84=0),"",S84/R84)</f>
        <v/>
      </c>
      <c r="U84" s="8" t="n"/>
      <c r="V84" s="7" t="n"/>
    </row>
    <row r="85">
      <c r="A85" s="5">
        <f>IF(D85="","",ROW()-1)</f>
        <v/>
      </c>
      <c r="B85" s="6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8" t="n"/>
      <c r="S85" s="8" t="n"/>
      <c r="T85" s="9">
        <f>IF(OR(R85="",R85=0),"",S85/R85)</f>
        <v/>
      </c>
      <c r="U85" s="8" t="n"/>
      <c r="V85" s="7" t="n"/>
    </row>
    <row r="86">
      <c r="A86" s="5">
        <f>IF(D86="","",ROW()-1)</f>
        <v/>
      </c>
      <c r="B86" s="6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8" t="n"/>
      <c r="S86" s="8" t="n"/>
      <c r="T86" s="9">
        <f>IF(OR(R86="",R86=0),"",S86/R86)</f>
        <v/>
      </c>
      <c r="U86" s="8" t="n"/>
      <c r="V86" s="7" t="n"/>
    </row>
    <row r="87">
      <c r="A87" s="5">
        <f>IF(D87="","",ROW()-1)</f>
        <v/>
      </c>
      <c r="B87" s="6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8" t="n"/>
      <c r="S87" s="8" t="n"/>
      <c r="T87" s="9">
        <f>IF(OR(R87="",R87=0),"",S87/R87)</f>
        <v/>
      </c>
      <c r="U87" s="8" t="n"/>
      <c r="V87" s="7" t="n"/>
    </row>
    <row r="88">
      <c r="A88" s="5">
        <f>IF(D88="","",ROW()-1)</f>
        <v/>
      </c>
      <c r="B88" s="6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8" t="n"/>
      <c r="S88" s="8" t="n"/>
      <c r="T88" s="9">
        <f>IF(OR(R88="",R88=0),"",S88/R88)</f>
        <v/>
      </c>
      <c r="U88" s="8" t="n"/>
      <c r="V88" s="7" t="n"/>
    </row>
    <row r="89">
      <c r="A89" s="5">
        <f>IF(D89="","",ROW()-1)</f>
        <v/>
      </c>
      <c r="B89" s="6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8" t="n"/>
      <c r="S89" s="8" t="n"/>
      <c r="T89" s="9">
        <f>IF(OR(R89="",R89=0),"",S89/R89)</f>
        <v/>
      </c>
      <c r="U89" s="8" t="n"/>
      <c r="V89" s="7" t="n"/>
    </row>
    <row r="90">
      <c r="A90" s="5">
        <f>IF(D90="","",ROW()-1)</f>
        <v/>
      </c>
      <c r="B90" s="6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8" t="n"/>
      <c r="S90" s="8" t="n"/>
      <c r="T90" s="9">
        <f>IF(OR(R90="",R90=0),"",S90/R90)</f>
        <v/>
      </c>
      <c r="U90" s="8" t="n"/>
      <c r="V90" s="7" t="n"/>
    </row>
    <row r="91">
      <c r="A91" s="5">
        <f>IF(D91="","",ROW()-1)</f>
        <v/>
      </c>
      <c r="B91" s="6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8" t="n"/>
      <c r="S91" s="8" t="n"/>
      <c r="T91" s="9">
        <f>IF(OR(R91="",R91=0),"",S91/R91)</f>
        <v/>
      </c>
      <c r="U91" s="8" t="n"/>
      <c r="V91" s="7" t="n"/>
    </row>
    <row r="92">
      <c r="A92" s="5">
        <f>IF(D92="","",ROW()-1)</f>
        <v/>
      </c>
      <c r="B92" s="6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8" t="n"/>
      <c r="S92" s="8" t="n"/>
      <c r="T92" s="9">
        <f>IF(OR(R92="",R92=0),"",S92/R92)</f>
        <v/>
      </c>
      <c r="U92" s="8" t="n"/>
      <c r="V92" s="7" t="n"/>
    </row>
    <row r="93">
      <c r="A93" s="5">
        <f>IF(D93="","",ROW()-1)</f>
        <v/>
      </c>
      <c r="B93" s="6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8" t="n"/>
      <c r="S93" s="8" t="n"/>
      <c r="T93" s="9">
        <f>IF(OR(R93="",R93=0),"",S93/R93)</f>
        <v/>
      </c>
      <c r="U93" s="8" t="n"/>
      <c r="V93" s="7" t="n"/>
    </row>
    <row r="94">
      <c r="A94" s="5">
        <f>IF(D94="","",ROW()-1)</f>
        <v/>
      </c>
      <c r="B94" s="6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8" t="n"/>
      <c r="S94" s="8" t="n"/>
      <c r="T94" s="9">
        <f>IF(OR(R94="",R94=0),"",S94/R94)</f>
        <v/>
      </c>
      <c r="U94" s="8" t="n"/>
      <c r="V94" s="7" t="n"/>
    </row>
    <row r="95">
      <c r="A95" s="5">
        <f>IF(D95="","",ROW()-1)</f>
        <v/>
      </c>
      <c r="B95" s="6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8" t="n"/>
      <c r="S95" s="8" t="n"/>
      <c r="T95" s="9">
        <f>IF(OR(R95="",R95=0),"",S95/R95)</f>
        <v/>
      </c>
      <c r="U95" s="8" t="n"/>
      <c r="V95" s="7" t="n"/>
    </row>
    <row r="96">
      <c r="A96" s="5">
        <f>IF(D96="","",ROW()-1)</f>
        <v/>
      </c>
      <c r="B96" s="6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8" t="n"/>
      <c r="S96" s="8" t="n"/>
      <c r="T96" s="9">
        <f>IF(OR(R96="",R96=0),"",S96/R96)</f>
        <v/>
      </c>
      <c r="U96" s="8" t="n"/>
      <c r="V96" s="7" t="n"/>
    </row>
    <row r="97">
      <c r="A97" s="5">
        <f>IF(D97="","",ROW()-1)</f>
        <v/>
      </c>
      <c r="B97" s="6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8" t="n"/>
      <c r="S97" s="8" t="n"/>
      <c r="T97" s="9">
        <f>IF(OR(R97="",R97=0),"",S97/R97)</f>
        <v/>
      </c>
      <c r="U97" s="8" t="n"/>
      <c r="V97" s="7" t="n"/>
    </row>
    <row r="98">
      <c r="A98" s="5">
        <f>IF(D98="","",ROW()-1)</f>
        <v/>
      </c>
      <c r="B98" s="6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8" t="n"/>
      <c r="S98" s="8" t="n"/>
      <c r="T98" s="9">
        <f>IF(OR(R98="",R98=0),"",S98/R98)</f>
        <v/>
      </c>
      <c r="U98" s="8" t="n"/>
      <c r="V98" s="7" t="n"/>
    </row>
    <row r="99">
      <c r="A99" s="5">
        <f>IF(D99="","",ROW()-1)</f>
        <v/>
      </c>
      <c r="B99" s="6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8" t="n"/>
      <c r="S99" s="8" t="n"/>
      <c r="T99" s="9">
        <f>IF(OR(R99="",R99=0),"",S99/R99)</f>
        <v/>
      </c>
      <c r="U99" s="8" t="n"/>
      <c r="V99" s="7" t="n"/>
    </row>
    <row r="100">
      <c r="A100" s="5">
        <f>IF(D100="","",ROW()-1)</f>
        <v/>
      </c>
      <c r="B100" s="6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8" t="n"/>
      <c r="S100" s="8" t="n"/>
      <c r="T100" s="9">
        <f>IF(OR(R100="",R100=0),"",S100/R100)</f>
        <v/>
      </c>
      <c r="U100" s="8" t="n"/>
      <c r="V100" s="7" t="n"/>
    </row>
    <row r="101">
      <c r="A101" s="5">
        <f>IF(D101="","",ROW()-1)</f>
        <v/>
      </c>
      <c r="B101" s="6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8" t="n"/>
      <c r="S101" s="8" t="n"/>
      <c r="T101" s="9">
        <f>IF(OR(R101="",R101=0),"",S101/R101)</f>
        <v/>
      </c>
      <c r="U101" s="8" t="n"/>
      <c r="V101" s="7" t="n"/>
    </row>
    <row r="102">
      <c r="A102" s="5">
        <f>IF(D102="","",ROW()-1)</f>
        <v/>
      </c>
      <c r="B102" s="6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8" t="n"/>
      <c r="S102" s="8" t="n"/>
      <c r="T102" s="9">
        <f>IF(OR(R102="",R102=0),"",S102/R102)</f>
        <v/>
      </c>
      <c r="U102" s="8" t="n"/>
      <c r="V102" s="7" t="n"/>
    </row>
    <row r="103">
      <c r="A103" s="5">
        <f>IF(D103="","",ROW()-1)</f>
        <v/>
      </c>
      <c r="B103" s="6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8" t="n"/>
      <c r="S103" s="8" t="n"/>
      <c r="T103" s="9">
        <f>IF(OR(R103="",R103=0),"",S103/R103)</f>
        <v/>
      </c>
      <c r="U103" s="8" t="n"/>
      <c r="V103" s="7" t="n"/>
    </row>
    <row r="104">
      <c r="A104" s="5">
        <f>IF(D104="","",ROW()-1)</f>
        <v/>
      </c>
      <c r="B104" s="6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8" t="n"/>
      <c r="S104" s="8" t="n"/>
      <c r="T104" s="9">
        <f>IF(OR(R104="",R104=0),"",S104/R104)</f>
        <v/>
      </c>
      <c r="U104" s="8" t="n"/>
      <c r="V104" s="7" t="n"/>
    </row>
    <row r="105">
      <c r="A105" s="5">
        <f>IF(D105="","",ROW()-1)</f>
        <v/>
      </c>
      <c r="B105" s="6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8" t="n"/>
      <c r="S105" s="8" t="n"/>
      <c r="T105" s="9">
        <f>IF(OR(R105="",R105=0),"",S105/R105)</f>
        <v/>
      </c>
      <c r="U105" s="8" t="n"/>
      <c r="V105" s="7" t="n"/>
    </row>
    <row r="106">
      <c r="A106" s="5">
        <f>IF(D106="","",ROW()-1)</f>
        <v/>
      </c>
      <c r="B106" s="6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8" t="n"/>
      <c r="S106" s="8" t="n"/>
      <c r="T106" s="9">
        <f>IF(OR(R106="",R106=0),"",S106/R106)</f>
        <v/>
      </c>
      <c r="U106" s="8" t="n"/>
      <c r="V106" s="7" t="n"/>
    </row>
    <row r="107">
      <c r="A107" s="5">
        <f>IF(D107="","",ROW()-1)</f>
        <v/>
      </c>
      <c r="B107" s="6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8" t="n"/>
      <c r="S107" s="8" t="n"/>
      <c r="T107" s="9">
        <f>IF(OR(R107="",R107=0),"",S107/R107)</f>
        <v/>
      </c>
      <c r="U107" s="8" t="n"/>
      <c r="V107" s="7" t="n"/>
    </row>
    <row r="108">
      <c r="A108" s="5">
        <f>IF(D108="","",ROW()-1)</f>
        <v/>
      </c>
      <c r="B108" s="6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8" t="n"/>
      <c r="S108" s="8" t="n"/>
      <c r="T108" s="9">
        <f>IF(OR(R108="",R108=0),"",S108/R108)</f>
        <v/>
      </c>
      <c r="U108" s="8" t="n"/>
      <c r="V108" s="7" t="n"/>
    </row>
    <row r="109">
      <c r="A109" s="5">
        <f>IF(D109="","",ROW()-1)</f>
        <v/>
      </c>
      <c r="B109" s="6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8" t="n"/>
      <c r="S109" s="8" t="n"/>
      <c r="T109" s="9">
        <f>IF(OR(R109="",R109=0),"",S109/R109)</f>
        <v/>
      </c>
      <c r="U109" s="8" t="n"/>
      <c r="V109" s="7" t="n"/>
    </row>
    <row r="110">
      <c r="A110" s="5">
        <f>IF(D110="","",ROW()-1)</f>
        <v/>
      </c>
      <c r="B110" s="6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8" t="n"/>
      <c r="S110" s="8" t="n"/>
      <c r="T110" s="9">
        <f>IF(OR(R110="",R110=0),"",S110/R110)</f>
        <v/>
      </c>
      <c r="U110" s="8" t="n"/>
      <c r="V110" s="7" t="n"/>
    </row>
    <row r="111">
      <c r="A111" s="5">
        <f>IF(D111="","",ROW()-1)</f>
        <v/>
      </c>
      <c r="B111" s="6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8" t="n"/>
      <c r="S111" s="8" t="n"/>
      <c r="T111" s="9">
        <f>IF(OR(R111="",R111=0),"",S111/R111)</f>
        <v/>
      </c>
      <c r="U111" s="8" t="n"/>
      <c r="V111" s="7" t="n"/>
    </row>
    <row r="112">
      <c r="A112" s="5">
        <f>IF(D112="","",ROW()-1)</f>
        <v/>
      </c>
      <c r="B112" s="6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8" t="n"/>
      <c r="S112" s="8" t="n"/>
      <c r="T112" s="9">
        <f>IF(OR(R112="",R112=0),"",S112/R112)</f>
        <v/>
      </c>
      <c r="U112" s="8" t="n"/>
      <c r="V112" s="7" t="n"/>
    </row>
    <row r="113">
      <c r="A113" s="5">
        <f>IF(D113="","",ROW()-1)</f>
        <v/>
      </c>
      <c r="B113" s="6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8" t="n"/>
      <c r="S113" s="8" t="n"/>
      <c r="T113" s="9">
        <f>IF(OR(R113="",R113=0),"",S113/R113)</f>
        <v/>
      </c>
      <c r="U113" s="8" t="n"/>
      <c r="V113" s="7" t="n"/>
    </row>
    <row r="114">
      <c r="A114" s="5">
        <f>IF(D114="","",ROW()-1)</f>
        <v/>
      </c>
      <c r="B114" s="6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8" t="n"/>
      <c r="S114" s="8" t="n"/>
      <c r="T114" s="9">
        <f>IF(OR(R114="",R114=0),"",S114/R114)</f>
        <v/>
      </c>
      <c r="U114" s="8" t="n"/>
      <c r="V114" s="7" t="n"/>
    </row>
    <row r="115">
      <c r="A115" s="5">
        <f>IF(D115="","",ROW()-1)</f>
        <v/>
      </c>
      <c r="B115" s="6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8" t="n"/>
      <c r="S115" s="8" t="n"/>
      <c r="T115" s="9">
        <f>IF(OR(R115="",R115=0),"",S115/R115)</f>
        <v/>
      </c>
      <c r="U115" s="8" t="n"/>
      <c r="V115" s="7" t="n"/>
    </row>
    <row r="116">
      <c r="A116" s="5">
        <f>IF(D116="","",ROW()-1)</f>
        <v/>
      </c>
      <c r="B116" s="6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8" t="n"/>
      <c r="S116" s="8" t="n"/>
      <c r="T116" s="9">
        <f>IF(OR(R116="",R116=0),"",S116/R116)</f>
        <v/>
      </c>
      <c r="U116" s="8" t="n"/>
      <c r="V116" s="7" t="n"/>
    </row>
    <row r="117">
      <c r="A117" s="5">
        <f>IF(D117="","",ROW()-1)</f>
        <v/>
      </c>
      <c r="B117" s="6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8" t="n"/>
      <c r="S117" s="8" t="n"/>
      <c r="T117" s="9">
        <f>IF(OR(R117="",R117=0),"",S117/R117)</f>
        <v/>
      </c>
      <c r="U117" s="8" t="n"/>
      <c r="V117" s="7" t="n"/>
    </row>
    <row r="118">
      <c r="A118" s="5">
        <f>IF(D118="","",ROW()-1)</f>
        <v/>
      </c>
      <c r="B118" s="6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8" t="n"/>
      <c r="S118" s="8" t="n"/>
      <c r="T118" s="9">
        <f>IF(OR(R118="",R118=0),"",S118/R118)</f>
        <v/>
      </c>
      <c r="U118" s="8" t="n"/>
      <c r="V118" s="7" t="n"/>
    </row>
    <row r="119">
      <c r="A119" s="5">
        <f>IF(D119="","",ROW()-1)</f>
        <v/>
      </c>
      <c r="B119" s="6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8" t="n"/>
      <c r="S119" s="8" t="n"/>
      <c r="T119" s="9">
        <f>IF(OR(R119="",R119=0),"",S119/R119)</f>
        <v/>
      </c>
      <c r="U119" s="8" t="n"/>
      <c r="V119" s="7" t="n"/>
    </row>
    <row r="120">
      <c r="A120" s="5">
        <f>IF(D120="","",ROW()-1)</f>
        <v/>
      </c>
      <c r="B120" s="6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8" t="n"/>
      <c r="S120" s="8" t="n"/>
      <c r="T120" s="9">
        <f>IF(OR(R120="",R120=0),"",S120/R120)</f>
        <v/>
      </c>
      <c r="U120" s="8" t="n"/>
      <c r="V120" s="7" t="n"/>
    </row>
    <row r="121">
      <c r="A121" s="5">
        <f>IF(D121="","",ROW()-1)</f>
        <v/>
      </c>
      <c r="B121" s="6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8" t="n"/>
      <c r="S121" s="8" t="n"/>
      <c r="T121" s="9">
        <f>IF(OR(R121="",R121=0),"",S121/R121)</f>
        <v/>
      </c>
      <c r="U121" s="8" t="n"/>
      <c r="V121" s="7" t="n"/>
    </row>
    <row r="122">
      <c r="A122" s="5">
        <f>IF(D122="","",ROW()-1)</f>
        <v/>
      </c>
      <c r="B122" s="6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8" t="n"/>
      <c r="S122" s="8" t="n"/>
      <c r="T122" s="9">
        <f>IF(OR(R122="",R122=0),"",S122/R122)</f>
        <v/>
      </c>
      <c r="U122" s="8" t="n"/>
      <c r="V122" s="7" t="n"/>
    </row>
    <row r="123">
      <c r="A123" s="5">
        <f>IF(D123="","",ROW()-1)</f>
        <v/>
      </c>
      <c r="B123" s="6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8" t="n"/>
      <c r="S123" s="8" t="n"/>
      <c r="T123" s="9">
        <f>IF(OR(R123="",R123=0),"",S123/R123)</f>
        <v/>
      </c>
      <c r="U123" s="8" t="n"/>
      <c r="V123" s="7" t="n"/>
    </row>
    <row r="124">
      <c r="A124" s="5">
        <f>IF(D124="","",ROW()-1)</f>
        <v/>
      </c>
      <c r="B124" s="6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8" t="n"/>
      <c r="S124" s="8" t="n"/>
      <c r="T124" s="9">
        <f>IF(OR(R124="",R124=0),"",S124/R124)</f>
        <v/>
      </c>
      <c r="U124" s="8" t="n"/>
      <c r="V124" s="7" t="n"/>
    </row>
    <row r="125">
      <c r="A125" s="5">
        <f>IF(D125="","",ROW()-1)</f>
        <v/>
      </c>
      <c r="B125" s="6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8" t="n"/>
      <c r="S125" s="8" t="n"/>
      <c r="T125" s="9">
        <f>IF(OR(R125="",R125=0),"",S125/R125)</f>
        <v/>
      </c>
      <c r="U125" s="8" t="n"/>
      <c r="V125" s="7" t="n"/>
    </row>
    <row r="126">
      <c r="A126" s="5">
        <f>IF(D126="","",ROW()-1)</f>
        <v/>
      </c>
      <c r="B126" s="6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8" t="n"/>
      <c r="S126" s="8" t="n"/>
      <c r="T126" s="9">
        <f>IF(OR(R126="",R126=0),"",S126/R126)</f>
        <v/>
      </c>
      <c r="U126" s="8" t="n"/>
      <c r="V126" s="7" t="n"/>
    </row>
    <row r="127">
      <c r="A127" s="5">
        <f>IF(D127="","",ROW()-1)</f>
        <v/>
      </c>
      <c r="B127" s="6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8" t="n"/>
      <c r="S127" s="8" t="n"/>
      <c r="T127" s="9">
        <f>IF(OR(R127="",R127=0),"",S127/R127)</f>
        <v/>
      </c>
      <c r="U127" s="8" t="n"/>
      <c r="V127" s="7" t="n"/>
    </row>
    <row r="128">
      <c r="A128" s="5">
        <f>IF(D128="","",ROW()-1)</f>
        <v/>
      </c>
      <c r="B128" s="6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8" t="n"/>
      <c r="S128" s="8" t="n"/>
      <c r="T128" s="9">
        <f>IF(OR(R128="",R128=0),"",S128/R128)</f>
        <v/>
      </c>
      <c r="U128" s="8" t="n"/>
      <c r="V128" s="7" t="n"/>
    </row>
    <row r="129">
      <c r="A129" s="5">
        <f>IF(D129="","",ROW()-1)</f>
        <v/>
      </c>
      <c r="B129" s="6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8" t="n"/>
      <c r="S129" s="8" t="n"/>
      <c r="T129" s="9">
        <f>IF(OR(R129="",R129=0),"",S129/R129)</f>
        <v/>
      </c>
      <c r="U129" s="8" t="n"/>
      <c r="V129" s="7" t="n"/>
    </row>
    <row r="130">
      <c r="A130" s="5">
        <f>IF(D130="","",ROW()-1)</f>
        <v/>
      </c>
      <c r="B130" s="6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8" t="n"/>
      <c r="S130" s="8" t="n"/>
      <c r="T130" s="9">
        <f>IF(OR(R130="",R130=0),"",S130/R130)</f>
        <v/>
      </c>
      <c r="U130" s="8" t="n"/>
      <c r="V130" s="7" t="n"/>
    </row>
    <row r="131">
      <c r="A131" s="5">
        <f>IF(D131="","",ROW()-1)</f>
        <v/>
      </c>
      <c r="B131" s="6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8" t="n"/>
      <c r="S131" s="8" t="n"/>
      <c r="T131" s="9">
        <f>IF(OR(R131="",R131=0),"",S131/R131)</f>
        <v/>
      </c>
      <c r="U131" s="8" t="n"/>
      <c r="V131" s="7" t="n"/>
    </row>
    <row r="132">
      <c r="A132" s="5">
        <f>IF(D132="","",ROW()-1)</f>
        <v/>
      </c>
      <c r="B132" s="6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8" t="n"/>
      <c r="S132" s="8" t="n"/>
      <c r="T132" s="9">
        <f>IF(OR(R132="",R132=0),"",S132/R132)</f>
        <v/>
      </c>
      <c r="U132" s="8" t="n"/>
      <c r="V132" s="7" t="n"/>
    </row>
    <row r="133">
      <c r="A133" s="5">
        <f>IF(D133="","",ROW()-1)</f>
        <v/>
      </c>
      <c r="B133" s="6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8" t="n"/>
      <c r="S133" s="8" t="n"/>
      <c r="T133" s="9">
        <f>IF(OR(R133="",R133=0),"",S133/R133)</f>
        <v/>
      </c>
      <c r="U133" s="8" t="n"/>
      <c r="V133" s="7" t="n"/>
    </row>
    <row r="134">
      <c r="A134" s="5">
        <f>IF(D134="","",ROW()-1)</f>
        <v/>
      </c>
      <c r="B134" s="6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8" t="n"/>
      <c r="S134" s="8" t="n"/>
      <c r="T134" s="9">
        <f>IF(OR(R134="",R134=0),"",S134/R134)</f>
        <v/>
      </c>
      <c r="U134" s="8" t="n"/>
      <c r="V134" s="7" t="n"/>
    </row>
    <row r="135">
      <c r="A135" s="5">
        <f>IF(D135="","",ROW()-1)</f>
        <v/>
      </c>
      <c r="B135" s="6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8" t="n"/>
      <c r="S135" s="8" t="n"/>
      <c r="T135" s="9">
        <f>IF(OR(R135="",R135=0),"",S135/R135)</f>
        <v/>
      </c>
      <c r="U135" s="8" t="n"/>
      <c r="V135" s="7" t="n"/>
    </row>
    <row r="136">
      <c r="A136" s="5">
        <f>IF(D136="","",ROW()-1)</f>
        <v/>
      </c>
      <c r="B136" s="6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8" t="n"/>
      <c r="S136" s="8" t="n"/>
      <c r="T136" s="9">
        <f>IF(OR(R136="",R136=0),"",S136/R136)</f>
        <v/>
      </c>
      <c r="U136" s="8" t="n"/>
      <c r="V136" s="7" t="n"/>
    </row>
    <row r="137">
      <c r="A137" s="5">
        <f>IF(D137="","",ROW()-1)</f>
        <v/>
      </c>
      <c r="B137" s="6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8" t="n"/>
      <c r="S137" s="8" t="n"/>
      <c r="T137" s="9">
        <f>IF(OR(R137="",R137=0),"",S137/R137)</f>
        <v/>
      </c>
      <c r="U137" s="8" t="n"/>
      <c r="V137" s="7" t="n"/>
    </row>
    <row r="138">
      <c r="A138" s="5">
        <f>IF(D138="","",ROW()-1)</f>
        <v/>
      </c>
      <c r="B138" s="6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8" t="n"/>
      <c r="S138" s="8" t="n"/>
      <c r="T138" s="9">
        <f>IF(OR(R138="",R138=0),"",S138/R138)</f>
        <v/>
      </c>
      <c r="U138" s="8" t="n"/>
      <c r="V138" s="7" t="n"/>
    </row>
    <row r="139">
      <c r="A139" s="5">
        <f>IF(D139="","",ROW()-1)</f>
        <v/>
      </c>
      <c r="B139" s="6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8" t="n"/>
      <c r="S139" s="8" t="n"/>
      <c r="T139" s="9">
        <f>IF(OR(R139="",R139=0),"",S139/R139)</f>
        <v/>
      </c>
      <c r="U139" s="8" t="n"/>
      <c r="V139" s="7" t="n"/>
    </row>
    <row r="140">
      <c r="A140" s="5">
        <f>IF(D140="","",ROW()-1)</f>
        <v/>
      </c>
      <c r="B140" s="6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8" t="n"/>
      <c r="S140" s="8" t="n"/>
      <c r="T140" s="9">
        <f>IF(OR(R140="",R140=0),"",S140/R140)</f>
        <v/>
      </c>
      <c r="U140" s="8" t="n"/>
      <c r="V140" s="7" t="n"/>
    </row>
    <row r="141">
      <c r="A141" s="5">
        <f>IF(D141="","",ROW()-1)</f>
        <v/>
      </c>
      <c r="B141" s="6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8" t="n"/>
      <c r="S141" s="8" t="n"/>
      <c r="T141" s="9">
        <f>IF(OR(R141="",R141=0),"",S141/R141)</f>
        <v/>
      </c>
      <c r="U141" s="8" t="n"/>
      <c r="V141" s="7" t="n"/>
    </row>
    <row r="142">
      <c r="A142" s="5">
        <f>IF(D142="","",ROW()-1)</f>
        <v/>
      </c>
      <c r="B142" s="6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8" t="n"/>
      <c r="S142" s="8" t="n"/>
      <c r="T142" s="9">
        <f>IF(OR(R142="",R142=0),"",S142/R142)</f>
        <v/>
      </c>
      <c r="U142" s="8" t="n"/>
      <c r="V142" s="7" t="n"/>
    </row>
    <row r="143">
      <c r="A143" s="5">
        <f>IF(D143="","",ROW()-1)</f>
        <v/>
      </c>
      <c r="B143" s="6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8" t="n"/>
      <c r="S143" s="8" t="n"/>
      <c r="T143" s="9">
        <f>IF(OR(R143="",R143=0),"",S143/R143)</f>
        <v/>
      </c>
      <c r="U143" s="8" t="n"/>
      <c r="V143" s="7" t="n"/>
    </row>
    <row r="144">
      <c r="A144" s="5">
        <f>IF(D144="","",ROW()-1)</f>
        <v/>
      </c>
      <c r="B144" s="6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8" t="n"/>
      <c r="S144" s="8" t="n"/>
      <c r="T144" s="9">
        <f>IF(OR(R144="",R144=0),"",S144/R144)</f>
        <v/>
      </c>
      <c r="U144" s="8" t="n"/>
      <c r="V144" s="7" t="n"/>
    </row>
    <row r="145">
      <c r="A145" s="5">
        <f>IF(D145="","",ROW()-1)</f>
        <v/>
      </c>
      <c r="B145" s="6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8" t="n"/>
      <c r="S145" s="8" t="n"/>
      <c r="T145" s="9">
        <f>IF(OR(R145="",R145=0),"",S145/R145)</f>
        <v/>
      </c>
      <c r="U145" s="8" t="n"/>
      <c r="V145" s="7" t="n"/>
    </row>
    <row r="146">
      <c r="A146" s="5">
        <f>IF(D146="","",ROW()-1)</f>
        <v/>
      </c>
      <c r="B146" s="6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8" t="n"/>
      <c r="S146" s="8" t="n"/>
      <c r="T146" s="9">
        <f>IF(OR(R146="",R146=0),"",S146/R146)</f>
        <v/>
      </c>
      <c r="U146" s="8" t="n"/>
      <c r="V146" s="7" t="n"/>
    </row>
    <row r="147">
      <c r="A147" s="5">
        <f>IF(D147="","",ROW()-1)</f>
        <v/>
      </c>
      <c r="B147" s="6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8" t="n"/>
      <c r="S147" s="8" t="n"/>
      <c r="T147" s="9">
        <f>IF(OR(R147="",R147=0),"",S147/R147)</f>
        <v/>
      </c>
      <c r="U147" s="8" t="n"/>
      <c r="V147" s="7" t="n"/>
    </row>
    <row r="148">
      <c r="A148" s="5">
        <f>IF(D148="","",ROW()-1)</f>
        <v/>
      </c>
      <c r="B148" s="6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8" t="n"/>
      <c r="S148" s="8" t="n"/>
      <c r="T148" s="9">
        <f>IF(OR(R148="",R148=0),"",S148/R148)</f>
        <v/>
      </c>
      <c r="U148" s="8" t="n"/>
      <c r="V148" s="7" t="n"/>
    </row>
    <row r="149">
      <c r="A149" s="5">
        <f>IF(D149="","",ROW()-1)</f>
        <v/>
      </c>
      <c r="B149" s="6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8" t="n"/>
      <c r="S149" s="8" t="n"/>
      <c r="T149" s="9">
        <f>IF(OR(R149="",R149=0),"",S149/R149)</f>
        <v/>
      </c>
      <c r="U149" s="8" t="n"/>
      <c r="V149" s="7" t="n"/>
    </row>
    <row r="150">
      <c r="A150" s="5">
        <f>IF(D150="","",ROW()-1)</f>
        <v/>
      </c>
      <c r="B150" s="6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8" t="n"/>
      <c r="S150" s="8" t="n"/>
      <c r="T150" s="9">
        <f>IF(OR(R150="",R150=0),"",S150/R150)</f>
        <v/>
      </c>
      <c r="U150" s="8" t="n"/>
      <c r="V150" s="7" t="n"/>
    </row>
    <row r="151">
      <c r="A151" s="5">
        <f>IF(D151="","",ROW()-1)</f>
        <v/>
      </c>
      <c r="B151" s="6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8" t="n"/>
      <c r="S151" s="8" t="n"/>
      <c r="T151" s="9">
        <f>IF(OR(R151="",R151=0),"",S151/R151)</f>
        <v/>
      </c>
      <c r="U151" s="8" t="n"/>
      <c r="V151" s="7" t="n"/>
    </row>
    <row r="152">
      <c r="A152" s="5">
        <f>IF(D152="","",ROW()-1)</f>
        <v/>
      </c>
      <c r="B152" s="6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8" t="n"/>
      <c r="S152" s="8" t="n"/>
      <c r="T152" s="9">
        <f>IF(OR(R152="",R152=0),"",S152/R152)</f>
        <v/>
      </c>
      <c r="U152" s="8" t="n"/>
      <c r="V152" s="7" t="n"/>
    </row>
    <row r="153">
      <c r="A153" s="5">
        <f>IF(D153="","",ROW()-1)</f>
        <v/>
      </c>
      <c r="B153" s="6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8" t="n"/>
      <c r="S153" s="8" t="n"/>
      <c r="T153" s="9">
        <f>IF(OR(R153="",R153=0),"",S153/R153)</f>
        <v/>
      </c>
      <c r="U153" s="8" t="n"/>
      <c r="V153" s="7" t="n"/>
    </row>
    <row r="154">
      <c r="A154" s="5">
        <f>IF(D154="","",ROW()-1)</f>
        <v/>
      </c>
      <c r="B154" s="6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8" t="n"/>
      <c r="S154" s="8" t="n"/>
      <c r="T154" s="9">
        <f>IF(OR(R154="",R154=0),"",S154/R154)</f>
        <v/>
      </c>
      <c r="U154" s="8" t="n"/>
      <c r="V154" s="7" t="n"/>
    </row>
    <row r="155">
      <c r="A155" s="5">
        <f>IF(D155="","",ROW()-1)</f>
        <v/>
      </c>
      <c r="B155" s="6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8" t="n"/>
      <c r="S155" s="8" t="n"/>
      <c r="T155" s="9">
        <f>IF(OR(R155="",R155=0),"",S155/R155)</f>
        <v/>
      </c>
      <c r="U155" s="8" t="n"/>
      <c r="V155" s="7" t="n"/>
    </row>
    <row r="156">
      <c r="A156" s="5">
        <f>IF(D156="","",ROW()-1)</f>
        <v/>
      </c>
      <c r="B156" s="6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8" t="n"/>
      <c r="S156" s="8" t="n"/>
      <c r="T156" s="9">
        <f>IF(OR(R156="",R156=0),"",S156/R156)</f>
        <v/>
      </c>
      <c r="U156" s="8" t="n"/>
      <c r="V156" s="7" t="n"/>
    </row>
    <row r="157">
      <c r="A157" s="5">
        <f>IF(D157="","",ROW()-1)</f>
        <v/>
      </c>
      <c r="B157" s="6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8" t="n"/>
      <c r="S157" s="8" t="n"/>
      <c r="T157" s="9">
        <f>IF(OR(R157="",R157=0),"",S157/R157)</f>
        <v/>
      </c>
      <c r="U157" s="8" t="n"/>
      <c r="V157" s="7" t="n"/>
    </row>
    <row r="158">
      <c r="A158" s="5">
        <f>IF(D158="","",ROW()-1)</f>
        <v/>
      </c>
      <c r="B158" s="6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8" t="n"/>
      <c r="S158" s="8" t="n"/>
      <c r="T158" s="9">
        <f>IF(OR(R158="",R158=0),"",S158/R158)</f>
        <v/>
      </c>
      <c r="U158" s="8" t="n"/>
      <c r="V158" s="7" t="n"/>
    </row>
    <row r="159">
      <c r="A159" s="5">
        <f>IF(D159="","",ROW()-1)</f>
        <v/>
      </c>
      <c r="B159" s="6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8" t="n"/>
      <c r="S159" s="8" t="n"/>
      <c r="T159" s="9">
        <f>IF(OR(R159="",R159=0),"",S159/R159)</f>
        <v/>
      </c>
      <c r="U159" s="8" t="n"/>
      <c r="V159" s="7" t="n"/>
    </row>
    <row r="160">
      <c r="A160" s="5">
        <f>IF(D160="","",ROW()-1)</f>
        <v/>
      </c>
      <c r="B160" s="6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8" t="n"/>
      <c r="S160" s="8" t="n"/>
      <c r="T160" s="9">
        <f>IF(OR(R160="",R160=0),"",S160/R160)</f>
        <v/>
      </c>
      <c r="U160" s="8" t="n"/>
      <c r="V160" s="7" t="n"/>
    </row>
    <row r="161">
      <c r="A161" s="5">
        <f>IF(D161="","",ROW()-1)</f>
        <v/>
      </c>
      <c r="B161" s="6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8" t="n"/>
      <c r="S161" s="8" t="n"/>
      <c r="T161" s="9">
        <f>IF(OR(R161="",R161=0),"",S161/R161)</f>
        <v/>
      </c>
      <c r="U161" s="8" t="n"/>
      <c r="V161" s="7" t="n"/>
    </row>
    <row r="162">
      <c r="A162" s="5">
        <f>IF(D162="","",ROW()-1)</f>
        <v/>
      </c>
      <c r="B162" s="6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8" t="n"/>
      <c r="S162" s="8" t="n"/>
      <c r="T162" s="9">
        <f>IF(OR(R162="",R162=0),"",S162/R162)</f>
        <v/>
      </c>
      <c r="U162" s="8" t="n"/>
      <c r="V162" s="7" t="n"/>
    </row>
    <row r="163">
      <c r="A163" s="5">
        <f>IF(D163="","",ROW()-1)</f>
        <v/>
      </c>
      <c r="B163" s="6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8" t="n"/>
      <c r="S163" s="8" t="n"/>
      <c r="T163" s="9">
        <f>IF(OR(R163="",R163=0),"",S163/R163)</f>
        <v/>
      </c>
      <c r="U163" s="8" t="n"/>
      <c r="V163" s="7" t="n"/>
    </row>
    <row r="164">
      <c r="A164" s="5">
        <f>IF(D164="","",ROW()-1)</f>
        <v/>
      </c>
      <c r="B164" s="6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8" t="n"/>
      <c r="S164" s="8" t="n"/>
      <c r="T164" s="9">
        <f>IF(OR(R164="",R164=0),"",S164/R164)</f>
        <v/>
      </c>
      <c r="U164" s="8" t="n"/>
      <c r="V164" s="7" t="n"/>
    </row>
    <row r="165">
      <c r="A165" s="5">
        <f>IF(D165="","",ROW()-1)</f>
        <v/>
      </c>
      <c r="B165" s="6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8" t="n"/>
      <c r="S165" s="8" t="n"/>
      <c r="T165" s="9">
        <f>IF(OR(R165="",R165=0),"",S165/R165)</f>
        <v/>
      </c>
      <c r="U165" s="8" t="n"/>
      <c r="V165" s="7" t="n"/>
    </row>
    <row r="166">
      <c r="A166" s="5">
        <f>IF(D166="","",ROW()-1)</f>
        <v/>
      </c>
      <c r="B166" s="6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8" t="n"/>
      <c r="S166" s="8" t="n"/>
      <c r="T166" s="9">
        <f>IF(OR(R166="",R166=0),"",S166/R166)</f>
        <v/>
      </c>
      <c r="U166" s="8" t="n"/>
      <c r="V166" s="7" t="n"/>
    </row>
    <row r="167">
      <c r="A167" s="5">
        <f>IF(D167="","",ROW()-1)</f>
        <v/>
      </c>
      <c r="B167" s="6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8" t="n"/>
      <c r="S167" s="8" t="n"/>
      <c r="T167" s="9">
        <f>IF(OR(R167="",R167=0),"",S167/R167)</f>
        <v/>
      </c>
      <c r="U167" s="8" t="n"/>
      <c r="V167" s="7" t="n"/>
    </row>
    <row r="168">
      <c r="A168" s="5">
        <f>IF(D168="","",ROW()-1)</f>
        <v/>
      </c>
      <c r="B168" s="6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8" t="n"/>
      <c r="S168" s="8" t="n"/>
      <c r="T168" s="9">
        <f>IF(OR(R168="",R168=0),"",S168/R168)</f>
        <v/>
      </c>
      <c r="U168" s="8" t="n"/>
      <c r="V168" s="7" t="n"/>
    </row>
    <row r="169">
      <c r="A169" s="5">
        <f>IF(D169="","",ROW()-1)</f>
        <v/>
      </c>
      <c r="B169" s="6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8" t="n"/>
      <c r="S169" s="8" t="n"/>
      <c r="T169" s="9">
        <f>IF(OR(R169="",R169=0),"",S169/R169)</f>
        <v/>
      </c>
      <c r="U169" s="8" t="n"/>
      <c r="V169" s="7" t="n"/>
    </row>
    <row r="170">
      <c r="A170" s="5">
        <f>IF(D170="","",ROW()-1)</f>
        <v/>
      </c>
      <c r="B170" s="6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8" t="n"/>
      <c r="S170" s="8" t="n"/>
      <c r="T170" s="9">
        <f>IF(OR(R170="",R170=0),"",S170/R170)</f>
        <v/>
      </c>
      <c r="U170" s="8" t="n"/>
      <c r="V170" s="7" t="n"/>
    </row>
    <row r="171">
      <c r="A171" s="5">
        <f>IF(D171="","",ROW()-1)</f>
        <v/>
      </c>
      <c r="B171" s="6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8" t="n"/>
      <c r="S171" s="8" t="n"/>
      <c r="T171" s="9">
        <f>IF(OR(R171="",R171=0),"",S171/R171)</f>
        <v/>
      </c>
      <c r="U171" s="8" t="n"/>
      <c r="V171" s="7" t="n"/>
    </row>
    <row r="172">
      <c r="A172" s="5">
        <f>IF(D172="","",ROW()-1)</f>
        <v/>
      </c>
      <c r="B172" s="6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8" t="n"/>
      <c r="S172" s="8" t="n"/>
      <c r="T172" s="9">
        <f>IF(OR(R172="",R172=0),"",S172/R172)</f>
        <v/>
      </c>
      <c r="U172" s="8" t="n"/>
      <c r="V172" s="7" t="n"/>
    </row>
    <row r="173">
      <c r="A173" s="5">
        <f>IF(D173="","",ROW()-1)</f>
        <v/>
      </c>
      <c r="B173" s="6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8" t="n"/>
      <c r="S173" s="8" t="n"/>
      <c r="T173" s="9">
        <f>IF(OR(R173="",R173=0),"",S173/R173)</f>
        <v/>
      </c>
      <c r="U173" s="8" t="n"/>
      <c r="V173" s="7" t="n"/>
    </row>
    <row r="174">
      <c r="A174" s="5">
        <f>IF(D174="","",ROW()-1)</f>
        <v/>
      </c>
      <c r="B174" s="6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8" t="n"/>
      <c r="S174" s="8" t="n"/>
      <c r="T174" s="9">
        <f>IF(OR(R174="",R174=0),"",S174/R174)</f>
        <v/>
      </c>
      <c r="U174" s="8" t="n"/>
      <c r="V174" s="7" t="n"/>
    </row>
    <row r="175">
      <c r="A175" s="5">
        <f>IF(D175="","",ROW()-1)</f>
        <v/>
      </c>
      <c r="B175" s="6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8" t="n"/>
      <c r="S175" s="8" t="n"/>
      <c r="T175" s="9">
        <f>IF(OR(R175="",R175=0),"",S175/R175)</f>
        <v/>
      </c>
      <c r="U175" s="8" t="n"/>
      <c r="V175" s="7" t="n"/>
    </row>
    <row r="176">
      <c r="A176" s="5">
        <f>IF(D176="","",ROW()-1)</f>
        <v/>
      </c>
      <c r="B176" s="6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8" t="n"/>
      <c r="S176" s="8" t="n"/>
      <c r="T176" s="9">
        <f>IF(OR(R176="",R176=0),"",S176/R176)</f>
        <v/>
      </c>
      <c r="U176" s="8" t="n"/>
      <c r="V176" s="7" t="n"/>
    </row>
    <row r="177">
      <c r="A177" s="5">
        <f>IF(D177="","",ROW()-1)</f>
        <v/>
      </c>
      <c r="B177" s="6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8" t="n"/>
      <c r="S177" s="8" t="n"/>
      <c r="T177" s="9">
        <f>IF(OR(R177="",R177=0),"",S177/R177)</f>
        <v/>
      </c>
      <c r="U177" s="8" t="n"/>
      <c r="V177" s="7" t="n"/>
    </row>
    <row r="178">
      <c r="A178" s="5">
        <f>IF(D178="","",ROW()-1)</f>
        <v/>
      </c>
      <c r="B178" s="6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8" t="n"/>
      <c r="S178" s="8" t="n"/>
      <c r="T178" s="9">
        <f>IF(OR(R178="",R178=0),"",S178/R178)</f>
        <v/>
      </c>
      <c r="U178" s="8" t="n"/>
      <c r="V178" s="7" t="n"/>
    </row>
    <row r="179">
      <c r="A179" s="5">
        <f>IF(D179="","",ROW()-1)</f>
        <v/>
      </c>
      <c r="B179" s="6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8" t="n"/>
      <c r="S179" s="8" t="n"/>
      <c r="T179" s="9">
        <f>IF(OR(R179="",R179=0),"",S179/R179)</f>
        <v/>
      </c>
      <c r="U179" s="8" t="n"/>
      <c r="V179" s="7" t="n"/>
    </row>
    <row r="180">
      <c r="A180" s="5">
        <f>IF(D180="","",ROW()-1)</f>
        <v/>
      </c>
      <c r="B180" s="6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8" t="n"/>
      <c r="S180" s="8" t="n"/>
      <c r="T180" s="9">
        <f>IF(OR(R180="",R180=0),"",S180/R180)</f>
        <v/>
      </c>
      <c r="U180" s="8" t="n"/>
      <c r="V180" s="7" t="n"/>
    </row>
    <row r="181">
      <c r="A181" s="5">
        <f>IF(D181="","",ROW()-1)</f>
        <v/>
      </c>
      <c r="B181" s="6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8" t="n"/>
      <c r="S181" s="8" t="n"/>
      <c r="T181" s="9">
        <f>IF(OR(R181="",R181=0),"",S181/R181)</f>
        <v/>
      </c>
      <c r="U181" s="8" t="n"/>
      <c r="V181" s="7" t="n"/>
    </row>
    <row r="182">
      <c r="A182" s="5">
        <f>IF(D182="","",ROW()-1)</f>
        <v/>
      </c>
      <c r="B182" s="6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8" t="n"/>
      <c r="S182" s="8" t="n"/>
      <c r="T182" s="9">
        <f>IF(OR(R182="",R182=0),"",S182/R182)</f>
        <v/>
      </c>
      <c r="U182" s="8" t="n"/>
      <c r="V182" s="7" t="n"/>
    </row>
    <row r="183">
      <c r="A183" s="5">
        <f>IF(D183="","",ROW()-1)</f>
        <v/>
      </c>
      <c r="B183" s="6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8" t="n"/>
      <c r="S183" s="8" t="n"/>
      <c r="T183" s="9">
        <f>IF(OR(R183="",R183=0),"",S183/R183)</f>
        <v/>
      </c>
      <c r="U183" s="8" t="n"/>
      <c r="V183" s="7" t="n"/>
    </row>
    <row r="184">
      <c r="A184" s="5">
        <f>IF(D184="","",ROW()-1)</f>
        <v/>
      </c>
      <c r="B184" s="6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8" t="n"/>
      <c r="S184" s="8" t="n"/>
      <c r="T184" s="9">
        <f>IF(OR(R184="",R184=0),"",S184/R184)</f>
        <v/>
      </c>
      <c r="U184" s="8" t="n"/>
      <c r="V184" s="7" t="n"/>
    </row>
    <row r="185">
      <c r="A185" s="5">
        <f>IF(D185="","",ROW()-1)</f>
        <v/>
      </c>
      <c r="B185" s="6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8" t="n"/>
      <c r="S185" s="8" t="n"/>
      <c r="T185" s="9">
        <f>IF(OR(R185="",R185=0),"",S185/R185)</f>
        <v/>
      </c>
      <c r="U185" s="8" t="n"/>
      <c r="V185" s="7" t="n"/>
    </row>
    <row r="186">
      <c r="A186" s="5">
        <f>IF(D186="","",ROW()-1)</f>
        <v/>
      </c>
      <c r="B186" s="6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8" t="n"/>
      <c r="S186" s="8" t="n"/>
      <c r="T186" s="9">
        <f>IF(OR(R186="",R186=0),"",S186/R186)</f>
        <v/>
      </c>
      <c r="U186" s="8" t="n"/>
      <c r="V186" s="7" t="n"/>
    </row>
    <row r="187">
      <c r="A187" s="5">
        <f>IF(D187="","",ROW()-1)</f>
        <v/>
      </c>
      <c r="B187" s="6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8" t="n"/>
      <c r="S187" s="8" t="n"/>
      <c r="T187" s="9">
        <f>IF(OR(R187="",R187=0),"",S187/R187)</f>
        <v/>
      </c>
      <c r="U187" s="8" t="n"/>
      <c r="V187" s="7" t="n"/>
    </row>
    <row r="188">
      <c r="A188" s="5">
        <f>IF(D188="","",ROW()-1)</f>
        <v/>
      </c>
      <c r="B188" s="6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8" t="n"/>
      <c r="S188" s="8" t="n"/>
      <c r="T188" s="9">
        <f>IF(OR(R188="",R188=0),"",S188/R188)</f>
        <v/>
      </c>
      <c r="U188" s="8" t="n"/>
      <c r="V188" s="7" t="n"/>
    </row>
    <row r="189">
      <c r="A189" s="5">
        <f>IF(D189="","",ROW()-1)</f>
        <v/>
      </c>
      <c r="B189" s="6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8" t="n"/>
      <c r="S189" s="8" t="n"/>
      <c r="T189" s="9">
        <f>IF(OR(R189="",R189=0),"",S189/R189)</f>
        <v/>
      </c>
      <c r="U189" s="8" t="n"/>
      <c r="V189" s="7" t="n"/>
    </row>
    <row r="190">
      <c r="A190" s="5">
        <f>IF(D190="","",ROW()-1)</f>
        <v/>
      </c>
      <c r="B190" s="6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8" t="n"/>
      <c r="S190" s="8" t="n"/>
      <c r="T190" s="9">
        <f>IF(OR(R190="",R190=0),"",S190/R190)</f>
        <v/>
      </c>
      <c r="U190" s="8" t="n"/>
      <c r="V190" s="7" t="n"/>
    </row>
    <row r="191">
      <c r="A191" s="5">
        <f>IF(D191="","",ROW()-1)</f>
        <v/>
      </c>
      <c r="B191" s="6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8" t="n"/>
      <c r="S191" s="8" t="n"/>
      <c r="T191" s="9">
        <f>IF(OR(R191="",R191=0),"",S191/R191)</f>
        <v/>
      </c>
      <c r="U191" s="8" t="n"/>
      <c r="V191" s="7" t="n"/>
    </row>
    <row r="192">
      <c r="A192" s="5">
        <f>IF(D192="","",ROW()-1)</f>
        <v/>
      </c>
      <c r="B192" s="6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8" t="n"/>
      <c r="S192" s="8" t="n"/>
      <c r="T192" s="9">
        <f>IF(OR(R192="",R192=0),"",S192/R192)</f>
        <v/>
      </c>
      <c r="U192" s="8" t="n"/>
      <c r="V192" s="7" t="n"/>
    </row>
    <row r="193">
      <c r="A193" s="5">
        <f>IF(D193="","",ROW()-1)</f>
        <v/>
      </c>
      <c r="B193" s="6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8" t="n"/>
      <c r="S193" s="8" t="n"/>
      <c r="T193" s="9">
        <f>IF(OR(R193="",R193=0),"",S193/R193)</f>
        <v/>
      </c>
      <c r="U193" s="8" t="n"/>
      <c r="V193" s="7" t="n"/>
    </row>
    <row r="194">
      <c r="A194" s="5">
        <f>IF(D194="","",ROW()-1)</f>
        <v/>
      </c>
      <c r="B194" s="6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8" t="n"/>
      <c r="S194" s="8" t="n"/>
      <c r="T194" s="9">
        <f>IF(OR(R194="",R194=0),"",S194/R194)</f>
        <v/>
      </c>
      <c r="U194" s="8" t="n"/>
      <c r="V194" s="7" t="n"/>
    </row>
    <row r="195">
      <c r="A195" s="5">
        <f>IF(D195="","",ROW()-1)</f>
        <v/>
      </c>
      <c r="B195" s="6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8" t="n"/>
      <c r="S195" s="8" t="n"/>
      <c r="T195" s="9">
        <f>IF(OR(R195="",R195=0),"",S195/R195)</f>
        <v/>
      </c>
      <c r="U195" s="8" t="n"/>
      <c r="V195" s="7" t="n"/>
    </row>
    <row r="196">
      <c r="A196" s="5">
        <f>IF(D196="","",ROW()-1)</f>
        <v/>
      </c>
      <c r="B196" s="6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8" t="n"/>
      <c r="S196" s="8" t="n"/>
      <c r="T196" s="9">
        <f>IF(OR(R196="",R196=0),"",S196/R196)</f>
        <v/>
      </c>
      <c r="U196" s="8" t="n"/>
      <c r="V196" s="7" t="n"/>
    </row>
    <row r="197">
      <c r="A197" s="5">
        <f>IF(D197="","",ROW()-1)</f>
        <v/>
      </c>
      <c r="B197" s="6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8" t="n"/>
      <c r="S197" s="8" t="n"/>
      <c r="T197" s="9">
        <f>IF(OR(R197="",R197=0),"",S197/R197)</f>
        <v/>
      </c>
      <c r="U197" s="8" t="n"/>
      <c r="V197" s="7" t="n"/>
    </row>
    <row r="198">
      <c r="A198" s="5">
        <f>IF(D198="","",ROW()-1)</f>
        <v/>
      </c>
      <c r="B198" s="6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8" t="n"/>
      <c r="S198" s="8" t="n"/>
      <c r="T198" s="9">
        <f>IF(OR(R198="",R198=0),"",S198/R198)</f>
        <v/>
      </c>
      <c r="U198" s="8" t="n"/>
      <c r="V198" s="7" t="n"/>
    </row>
    <row r="199">
      <c r="A199" s="5">
        <f>IF(D199="","",ROW()-1)</f>
        <v/>
      </c>
      <c r="B199" s="6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8" t="n"/>
      <c r="S199" s="8" t="n"/>
      <c r="T199" s="9">
        <f>IF(OR(R199="",R199=0),"",S199/R199)</f>
        <v/>
      </c>
      <c r="U199" s="8" t="n"/>
      <c r="V199" s="7" t="n"/>
    </row>
    <row r="200">
      <c r="A200" s="5">
        <f>IF(D200="","",ROW()-1)</f>
        <v/>
      </c>
      <c r="B200" s="6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8" t="n"/>
      <c r="S200" s="8" t="n"/>
      <c r="T200" s="9">
        <f>IF(OR(R200="",R200=0),"",S200/R200)</f>
        <v/>
      </c>
      <c r="U200" s="8" t="n"/>
      <c r="V200" s="7" t="n"/>
    </row>
    <row r="201">
      <c r="A201" s="5">
        <f>IF(D201="","",ROW()-1)</f>
        <v/>
      </c>
      <c r="B201" s="6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8" t="n"/>
      <c r="S201" s="8" t="n"/>
      <c r="T201" s="9">
        <f>IF(OR(R201="",R201=0),"",S201/R201)</f>
        <v/>
      </c>
      <c r="U201" s="8" t="n"/>
      <c r="V201" s="7" t="n"/>
    </row>
    <row r="202">
      <c r="A202" s="5">
        <f>IF(D202="","",ROW()-1)</f>
        <v/>
      </c>
      <c r="B202" s="6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8" t="n"/>
      <c r="S202" s="8" t="n"/>
      <c r="T202" s="9">
        <f>IF(OR(R202="",R202=0),"",S202/R202)</f>
        <v/>
      </c>
      <c r="U202" s="8" t="n"/>
      <c r="V202" s="7" t="n"/>
    </row>
    <row r="203">
      <c r="A203" s="5">
        <f>IF(D203="","",ROW()-1)</f>
        <v/>
      </c>
      <c r="B203" s="6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8" t="n"/>
      <c r="S203" s="8" t="n"/>
      <c r="T203" s="9">
        <f>IF(OR(R203="",R203=0),"",S203/R203)</f>
        <v/>
      </c>
      <c r="U203" s="8" t="n"/>
      <c r="V203" s="7" t="n"/>
    </row>
    <row r="204">
      <c r="A204" s="5">
        <f>IF(D204="","",ROW()-1)</f>
        <v/>
      </c>
      <c r="B204" s="6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8" t="n"/>
      <c r="S204" s="8" t="n"/>
      <c r="T204" s="9">
        <f>IF(OR(R204="",R204=0),"",S204/R204)</f>
        <v/>
      </c>
      <c r="U204" s="8" t="n"/>
      <c r="V204" s="7" t="n"/>
    </row>
    <row r="205">
      <c r="A205" s="5">
        <f>IF(D205="","",ROW()-1)</f>
        <v/>
      </c>
      <c r="B205" s="6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8" t="n"/>
      <c r="S205" s="8" t="n"/>
      <c r="T205" s="9">
        <f>IF(OR(R205="",R205=0),"",S205/R205)</f>
        <v/>
      </c>
      <c r="U205" s="8" t="n"/>
      <c r="V205" s="7" t="n"/>
    </row>
    <row r="206">
      <c r="A206" s="5">
        <f>IF(D206="","",ROW()-1)</f>
        <v/>
      </c>
      <c r="B206" s="6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8" t="n"/>
      <c r="S206" s="8" t="n"/>
      <c r="T206" s="9">
        <f>IF(OR(R206="",R206=0),"",S206/R206)</f>
        <v/>
      </c>
      <c r="U206" s="8" t="n"/>
      <c r="V206" s="7" t="n"/>
    </row>
    <row r="207">
      <c r="A207" s="5">
        <f>IF(D207="","",ROW()-1)</f>
        <v/>
      </c>
      <c r="B207" s="6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8" t="n"/>
      <c r="S207" s="8" t="n"/>
      <c r="T207" s="9">
        <f>IF(OR(R207="",R207=0),"",S207/R207)</f>
        <v/>
      </c>
      <c r="U207" s="8" t="n"/>
      <c r="V207" s="7" t="n"/>
    </row>
    <row r="208">
      <c r="A208" s="5">
        <f>IF(D208="","",ROW()-1)</f>
        <v/>
      </c>
      <c r="B208" s="6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8" t="n"/>
      <c r="S208" s="8" t="n"/>
      <c r="T208" s="9">
        <f>IF(OR(R208="",R208=0),"",S208/R208)</f>
        <v/>
      </c>
      <c r="U208" s="8" t="n"/>
      <c r="V208" s="7" t="n"/>
    </row>
    <row r="209">
      <c r="A209" s="5">
        <f>IF(D209="","",ROW()-1)</f>
        <v/>
      </c>
      <c r="B209" s="6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8" t="n"/>
      <c r="S209" s="8" t="n"/>
      <c r="T209" s="9">
        <f>IF(OR(R209="",R209=0),"",S209/R209)</f>
        <v/>
      </c>
      <c r="U209" s="8" t="n"/>
      <c r="V209" s="7" t="n"/>
    </row>
    <row r="210">
      <c r="A210" s="5">
        <f>IF(D210="","",ROW()-1)</f>
        <v/>
      </c>
      <c r="B210" s="6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8" t="n"/>
      <c r="S210" s="8" t="n"/>
      <c r="T210" s="9">
        <f>IF(OR(R210="",R210=0),"",S210/R210)</f>
        <v/>
      </c>
      <c r="U210" s="8" t="n"/>
      <c r="V210" s="7" t="n"/>
    </row>
    <row r="211">
      <c r="A211" s="5">
        <f>IF(D211="","",ROW()-1)</f>
        <v/>
      </c>
      <c r="B211" s="6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8" t="n"/>
      <c r="S211" s="8" t="n"/>
      <c r="T211" s="9">
        <f>IF(OR(R211="",R211=0),"",S211/R211)</f>
        <v/>
      </c>
      <c r="U211" s="8" t="n"/>
      <c r="V211" s="7" t="n"/>
    </row>
    <row r="212">
      <c r="A212" s="5">
        <f>IF(D212="","",ROW()-1)</f>
        <v/>
      </c>
      <c r="B212" s="6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8" t="n"/>
      <c r="S212" s="8" t="n"/>
      <c r="T212" s="9">
        <f>IF(OR(R212="",R212=0),"",S212/R212)</f>
        <v/>
      </c>
      <c r="U212" s="8" t="n"/>
      <c r="V212" s="7" t="n"/>
    </row>
    <row r="213">
      <c r="A213" s="5">
        <f>IF(D213="","",ROW()-1)</f>
        <v/>
      </c>
      <c r="B213" s="6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8" t="n"/>
      <c r="S213" s="8" t="n"/>
      <c r="T213" s="9">
        <f>IF(OR(R213="",R213=0),"",S213/R213)</f>
        <v/>
      </c>
      <c r="U213" s="8" t="n"/>
      <c r="V213" s="7" t="n"/>
    </row>
    <row r="214">
      <c r="A214" s="5">
        <f>IF(D214="","",ROW()-1)</f>
        <v/>
      </c>
      <c r="B214" s="6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8" t="n"/>
      <c r="S214" s="8" t="n"/>
      <c r="T214" s="9">
        <f>IF(OR(R214="",R214=0),"",S214/R214)</f>
        <v/>
      </c>
      <c r="U214" s="8" t="n"/>
      <c r="V214" s="7" t="n"/>
    </row>
    <row r="215">
      <c r="A215" s="5">
        <f>IF(D215="","",ROW()-1)</f>
        <v/>
      </c>
      <c r="B215" s="6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8" t="n"/>
      <c r="S215" s="8" t="n"/>
      <c r="T215" s="9">
        <f>IF(OR(R215="",R215=0),"",S215/R215)</f>
        <v/>
      </c>
      <c r="U215" s="8" t="n"/>
      <c r="V215" s="7" t="n"/>
    </row>
    <row r="216">
      <c r="A216" s="5">
        <f>IF(D216="","",ROW()-1)</f>
        <v/>
      </c>
      <c r="B216" s="6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8" t="n"/>
      <c r="S216" s="8" t="n"/>
      <c r="T216" s="9">
        <f>IF(OR(R216="",R216=0),"",S216/R216)</f>
        <v/>
      </c>
      <c r="U216" s="8" t="n"/>
      <c r="V216" s="7" t="n"/>
    </row>
    <row r="217">
      <c r="A217" s="5">
        <f>IF(D217="","",ROW()-1)</f>
        <v/>
      </c>
      <c r="B217" s="6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8" t="n"/>
      <c r="S217" s="8" t="n"/>
      <c r="T217" s="9">
        <f>IF(OR(R217="",R217=0),"",S217/R217)</f>
        <v/>
      </c>
      <c r="U217" s="8" t="n"/>
      <c r="V217" s="7" t="n"/>
    </row>
    <row r="218">
      <c r="A218" s="5">
        <f>IF(D218="","",ROW()-1)</f>
        <v/>
      </c>
      <c r="B218" s="6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8" t="n"/>
      <c r="S218" s="8" t="n"/>
      <c r="T218" s="9">
        <f>IF(OR(R218="",R218=0),"",S218/R218)</f>
        <v/>
      </c>
      <c r="U218" s="8" t="n"/>
      <c r="V218" s="7" t="n"/>
    </row>
    <row r="219">
      <c r="A219" s="5">
        <f>IF(D219="","",ROW()-1)</f>
        <v/>
      </c>
      <c r="B219" s="6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8" t="n"/>
      <c r="S219" s="8" t="n"/>
      <c r="T219" s="9">
        <f>IF(OR(R219="",R219=0),"",S219/R219)</f>
        <v/>
      </c>
      <c r="U219" s="8" t="n"/>
      <c r="V219" s="7" t="n"/>
    </row>
    <row r="220">
      <c r="A220" s="5">
        <f>IF(D220="","",ROW()-1)</f>
        <v/>
      </c>
      <c r="B220" s="6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8" t="n"/>
      <c r="S220" s="8" t="n"/>
      <c r="T220" s="9">
        <f>IF(OR(R220="",R220=0),"",S220/R220)</f>
        <v/>
      </c>
      <c r="U220" s="8" t="n"/>
      <c r="V220" s="7" t="n"/>
    </row>
    <row r="221">
      <c r="A221" s="5">
        <f>IF(D221="","",ROW()-1)</f>
        <v/>
      </c>
      <c r="B221" s="6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8" t="n"/>
      <c r="S221" s="8" t="n"/>
      <c r="T221" s="9">
        <f>IF(OR(R221="",R221=0),"",S221/R221)</f>
        <v/>
      </c>
      <c r="U221" s="8" t="n"/>
      <c r="V221" s="7" t="n"/>
    </row>
    <row r="222">
      <c r="A222" s="5">
        <f>IF(D222="","",ROW()-1)</f>
        <v/>
      </c>
      <c r="B222" s="6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8" t="n"/>
      <c r="S222" s="8" t="n"/>
      <c r="T222" s="9">
        <f>IF(OR(R222="",R222=0),"",S222/R222)</f>
        <v/>
      </c>
      <c r="U222" s="8" t="n"/>
      <c r="V222" s="7" t="n"/>
    </row>
    <row r="223">
      <c r="A223" s="5">
        <f>IF(D223="","",ROW()-1)</f>
        <v/>
      </c>
      <c r="B223" s="6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8" t="n"/>
      <c r="S223" s="8" t="n"/>
      <c r="T223" s="9">
        <f>IF(OR(R223="",R223=0),"",S223/R223)</f>
        <v/>
      </c>
      <c r="U223" s="8" t="n"/>
      <c r="V223" s="7" t="n"/>
    </row>
    <row r="224">
      <c r="A224" s="5">
        <f>IF(D224="","",ROW()-1)</f>
        <v/>
      </c>
      <c r="B224" s="6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8" t="n"/>
      <c r="S224" s="8" t="n"/>
      <c r="T224" s="9">
        <f>IF(OR(R224="",R224=0),"",S224/R224)</f>
        <v/>
      </c>
      <c r="U224" s="8" t="n"/>
      <c r="V224" s="7" t="n"/>
    </row>
    <row r="225">
      <c r="A225" s="5">
        <f>IF(D225="","",ROW()-1)</f>
        <v/>
      </c>
      <c r="B225" s="6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8" t="n"/>
      <c r="S225" s="8" t="n"/>
      <c r="T225" s="9">
        <f>IF(OR(R225="",R225=0),"",S225/R225)</f>
        <v/>
      </c>
      <c r="U225" s="8" t="n"/>
      <c r="V225" s="7" t="n"/>
    </row>
    <row r="226">
      <c r="A226" s="5">
        <f>IF(D226="","",ROW()-1)</f>
        <v/>
      </c>
      <c r="B226" s="6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8" t="n"/>
      <c r="S226" s="8" t="n"/>
      <c r="T226" s="9">
        <f>IF(OR(R226="",R226=0),"",S226/R226)</f>
        <v/>
      </c>
      <c r="U226" s="8" t="n"/>
      <c r="V226" s="7" t="n"/>
    </row>
    <row r="227">
      <c r="A227" s="5">
        <f>IF(D227="","",ROW()-1)</f>
        <v/>
      </c>
      <c r="B227" s="6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8" t="n"/>
      <c r="S227" s="8" t="n"/>
      <c r="T227" s="9">
        <f>IF(OR(R227="",R227=0),"",S227/R227)</f>
        <v/>
      </c>
      <c r="U227" s="8" t="n"/>
      <c r="V227" s="7" t="n"/>
    </row>
    <row r="228">
      <c r="A228" s="5">
        <f>IF(D228="","",ROW()-1)</f>
        <v/>
      </c>
      <c r="B228" s="6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8" t="n"/>
      <c r="S228" s="8" t="n"/>
      <c r="T228" s="9">
        <f>IF(OR(R228="",R228=0),"",S228/R228)</f>
        <v/>
      </c>
      <c r="U228" s="8" t="n"/>
      <c r="V228" s="7" t="n"/>
    </row>
    <row r="229">
      <c r="A229" s="5">
        <f>IF(D229="","",ROW()-1)</f>
        <v/>
      </c>
      <c r="B229" s="6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8" t="n"/>
      <c r="S229" s="8" t="n"/>
      <c r="T229" s="9">
        <f>IF(OR(R229="",R229=0),"",S229/R229)</f>
        <v/>
      </c>
      <c r="U229" s="8" t="n"/>
      <c r="V229" s="7" t="n"/>
    </row>
    <row r="230">
      <c r="A230" s="5">
        <f>IF(D230="","",ROW()-1)</f>
        <v/>
      </c>
      <c r="B230" s="6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8" t="n"/>
      <c r="S230" s="8" t="n"/>
      <c r="T230" s="9">
        <f>IF(OR(R230="",R230=0),"",S230/R230)</f>
        <v/>
      </c>
      <c r="U230" s="8" t="n"/>
      <c r="V230" s="7" t="n"/>
    </row>
    <row r="231">
      <c r="A231" s="5">
        <f>IF(D231="","",ROW()-1)</f>
        <v/>
      </c>
      <c r="B231" s="6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8" t="n"/>
      <c r="S231" s="8" t="n"/>
      <c r="T231" s="9">
        <f>IF(OR(R231="",R231=0),"",S231/R231)</f>
        <v/>
      </c>
      <c r="U231" s="8" t="n"/>
      <c r="V231" s="7" t="n"/>
    </row>
    <row r="232">
      <c r="A232" s="5">
        <f>IF(D232="","",ROW()-1)</f>
        <v/>
      </c>
      <c r="B232" s="6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8" t="n"/>
      <c r="S232" s="8" t="n"/>
      <c r="T232" s="9">
        <f>IF(OR(R232="",R232=0),"",S232/R232)</f>
        <v/>
      </c>
      <c r="U232" s="8" t="n"/>
      <c r="V232" s="7" t="n"/>
    </row>
    <row r="233">
      <c r="A233" s="5">
        <f>IF(D233="","",ROW()-1)</f>
        <v/>
      </c>
      <c r="B233" s="6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8" t="n"/>
      <c r="S233" s="8" t="n"/>
      <c r="T233" s="9">
        <f>IF(OR(R233="",R233=0),"",S233/R233)</f>
        <v/>
      </c>
      <c r="U233" s="8" t="n"/>
      <c r="V233" s="7" t="n"/>
    </row>
    <row r="234">
      <c r="A234" s="5">
        <f>IF(D234="","",ROW()-1)</f>
        <v/>
      </c>
      <c r="B234" s="6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8" t="n"/>
      <c r="S234" s="8" t="n"/>
      <c r="T234" s="9">
        <f>IF(OR(R234="",R234=0),"",S234/R234)</f>
        <v/>
      </c>
      <c r="U234" s="8" t="n"/>
      <c r="V234" s="7" t="n"/>
    </row>
    <row r="235">
      <c r="A235" s="5">
        <f>IF(D235="","",ROW()-1)</f>
        <v/>
      </c>
      <c r="B235" s="6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8" t="n"/>
      <c r="S235" s="8" t="n"/>
      <c r="T235" s="9">
        <f>IF(OR(R235="",R235=0),"",S235/R235)</f>
        <v/>
      </c>
      <c r="U235" s="8" t="n"/>
      <c r="V235" s="7" t="n"/>
    </row>
    <row r="236">
      <c r="A236" s="5">
        <f>IF(D236="","",ROW()-1)</f>
        <v/>
      </c>
      <c r="B236" s="6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8" t="n"/>
      <c r="S236" s="8" t="n"/>
      <c r="T236" s="9">
        <f>IF(OR(R236="",R236=0),"",S236/R236)</f>
        <v/>
      </c>
      <c r="U236" s="8" t="n"/>
      <c r="V236" s="7" t="n"/>
    </row>
    <row r="237">
      <c r="A237" s="5">
        <f>IF(D237="","",ROW()-1)</f>
        <v/>
      </c>
      <c r="B237" s="6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8" t="n"/>
      <c r="S237" s="8" t="n"/>
      <c r="T237" s="9">
        <f>IF(OR(R237="",R237=0),"",S237/R237)</f>
        <v/>
      </c>
      <c r="U237" s="8" t="n"/>
      <c r="V237" s="7" t="n"/>
    </row>
    <row r="238">
      <c r="A238" s="5">
        <f>IF(D238="","",ROW()-1)</f>
        <v/>
      </c>
      <c r="B238" s="6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8" t="n"/>
      <c r="S238" s="8" t="n"/>
      <c r="T238" s="9">
        <f>IF(OR(R238="",R238=0),"",S238/R238)</f>
        <v/>
      </c>
      <c r="U238" s="8" t="n"/>
      <c r="V238" s="7" t="n"/>
    </row>
    <row r="239">
      <c r="A239" s="5">
        <f>IF(D239="","",ROW()-1)</f>
        <v/>
      </c>
      <c r="B239" s="6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8" t="n"/>
      <c r="S239" s="8" t="n"/>
      <c r="T239" s="9">
        <f>IF(OR(R239="",R239=0),"",S239/R239)</f>
        <v/>
      </c>
      <c r="U239" s="8" t="n"/>
      <c r="V239" s="7" t="n"/>
    </row>
    <row r="240">
      <c r="A240" s="5">
        <f>IF(D240="","",ROW()-1)</f>
        <v/>
      </c>
      <c r="B240" s="6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8" t="n"/>
      <c r="S240" s="8" t="n"/>
      <c r="T240" s="9">
        <f>IF(OR(R240="",R240=0),"",S240/R240)</f>
        <v/>
      </c>
      <c r="U240" s="8" t="n"/>
      <c r="V240" s="7" t="n"/>
    </row>
    <row r="241">
      <c r="A241" s="5">
        <f>IF(D241="","",ROW()-1)</f>
        <v/>
      </c>
      <c r="B241" s="6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8" t="n"/>
      <c r="S241" s="8" t="n"/>
      <c r="T241" s="9">
        <f>IF(OR(R241="",R241=0),"",S241/R241)</f>
        <v/>
      </c>
      <c r="U241" s="8" t="n"/>
      <c r="V241" s="7" t="n"/>
    </row>
    <row r="242">
      <c r="A242" s="5">
        <f>IF(D242="","",ROW()-1)</f>
        <v/>
      </c>
      <c r="B242" s="6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8" t="n"/>
      <c r="S242" s="8" t="n"/>
      <c r="T242" s="9">
        <f>IF(OR(R242="",R242=0),"",S242/R242)</f>
        <v/>
      </c>
      <c r="U242" s="8" t="n"/>
      <c r="V242" s="7" t="n"/>
    </row>
    <row r="243">
      <c r="A243" s="5">
        <f>IF(D243="","",ROW()-1)</f>
        <v/>
      </c>
      <c r="B243" s="6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8" t="n"/>
      <c r="S243" s="8" t="n"/>
      <c r="T243" s="9">
        <f>IF(OR(R243="",R243=0),"",S243/R243)</f>
        <v/>
      </c>
      <c r="U243" s="8" t="n"/>
      <c r="V243" s="7" t="n"/>
    </row>
    <row r="244">
      <c r="A244" s="5">
        <f>IF(D244="","",ROW()-1)</f>
        <v/>
      </c>
      <c r="B244" s="6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8" t="n"/>
      <c r="S244" s="8" t="n"/>
      <c r="T244" s="9">
        <f>IF(OR(R244="",R244=0),"",S244/R244)</f>
        <v/>
      </c>
      <c r="U244" s="8" t="n"/>
      <c r="V244" s="7" t="n"/>
    </row>
    <row r="245">
      <c r="A245" s="5">
        <f>IF(D245="","",ROW()-1)</f>
        <v/>
      </c>
      <c r="B245" s="6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8" t="n"/>
      <c r="S245" s="8" t="n"/>
      <c r="T245" s="9">
        <f>IF(OR(R245="",R245=0),"",S245/R245)</f>
        <v/>
      </c>
      <c r="U245" s="8" t="n"/>
      <c r="V245" s="7" t="n"/>
    </row>
    <row r="246">
      <c r="A246" s="5">
        <f>IF(D246="","",ROW()-1)</f>
        <v/>
      </c>
      <c r="B246" s="6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8" t="n"/>
      <c r="S246" s="8" t="n"/>
      <c r="T246" s="9">
        <f>IF(OR(R246="",R246=0),"",S246/R246)</f>
        <v/>
      </c>
      <c r="U246" s="8" t="n"/>
      <c r="V246" s="7" t="n"/>
    </row>
    <row r="247">
      <c r="A247" s="5">
        <f>IF(D247="","",ROW()-1)</f>
        <v/>
      </c>
      <c r="B247" s="6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8" t="n"/>
      <c r="S247" s="8" t="n"/>
      <c r="T247" s="9">
        <f>IF(OR(R247="",R247=0),"",S247/R247)</f>
        <v/>
      </c>
      <c r="U247" s="8" t="n"/>
      <c r="V247" s="7" t="n"/>
    </row>
    <row r="248">
      <c r="A248" s="5">
        <f>IF(D248="","",ROW()-1)</f>
        <v/>
      </c>
      <c r="B248" s="6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8" t="n"/>
      <c r="S248" s="8" t="n"/>
      <c r="T248" s="9">
        <f>IF(OR(R248="",R248=0),"",S248/R248)</f>
        <v/>
      </c>
      <c r="U248" s="8" t="n"/>
      <c r="V248" s="7" t="n"/>
    </row>
    <row r="249">
      <c r="A249" s="5">
        <f>IF(D249="","",ROW()-1)</f>
        <v/>
      </c>
      <c r="B249" s="6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8" t="n"/>
      <c r="S249" s="8" t="n"/>
      <c r="T249" s="9">
        <f>IF(OR(R249="",R249=0),"",S249/R249)</f>
        <v/>
      </c>
      <c r="U249" s="8" t="n"/>
      <c r="V249" s="7" t="n"/>
    </row>
    <row r="250">
      <c r="A250" s="5">
        <f>IF(D250="","",ROW()-1)</f>
        <v/>
      </c>
      <c r="B250" s="6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8" t="n"/>
      <c r="S250" s="8" t="n"/>
      <c r="T250" s="9">
        <f>IF(OR(R250="",R250=0),"",S250/R250)</f>
        <v/>
      </c>
      <c r="U250" s="8" t="n"/>
      <c r="V250" s="7" t="n"/>
    </row>
    <row r="251">
      <c r="A251" s="5">
        <f>IF(D251="","",ROW()-1)</f>
        <v/>
      </c>
      <c r="B251" s="6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8" t="n"/>
      <c r="S251" s="8" t="n"/>
      <c r="T251" s="9">
        <f>IF(OR(R251="",R251=0),"",S251/R251)</f>
        <v/>
      </c>
      <c r="U251" s="8" t="n"/>
      <c r="V251" s="7" t="n"/>
    </row>
    <row r="252">
      <c r="A252" s="5">
        <f>IF(D252="","",ROW()-1)</f>
        <v/>
      </c>
      <c r="B252" s="6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8" t="n"/>
      <c r="S252" s="8" t="n"/>
      <c r="T252" s="9">
        <f>IF(OR(R252="",R252=0),"",S252/R252)</f>
        <v/>
      </c>
      <c r="U252" s="8" t="n"/>
      <c r="V252" s="7" t="n"/>
    </row>
    <row r="253">
      <c r="A253" s="5">
        <f>IF(D253="","",ROW()-1)</f>
        <v/>
      </c>
      <c r="B253" s="6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8" t="n"/>
      <c r="S253" s="8" t="n"/>
      <c r="T253" s="9">
        <f>IF(OR(R253="",R253=0),"",S253/R253)</f>
        <v/>
      </c>
      <c r="U253" s="8" t="n"/>
      <c r="V253" s="7" t="n"/>
    </row>
    <row r="254">
      <c r="A254" s="5">
        <f>IF(D254="","",ROW()-1)</f>
        <v/>
      </c>
      <c r="B254" s="6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8" t="n"/>
      <c r="S254" s="8" t="n"/>
      <c r="T254" s="9">
        <f>IF(OR(R254="",R254=0),"",S254/R254)</f>
        <v/>
      </c>
      <c r="U254" s="8" t="n"/>
      <c r="V254" s="7" t="n"/>
    </row>
    <row r="255">
      <c r="A255" s="5">
        <f>IF(D255="","",ROW()-1)</f>
        <v/>
      </c>
      <c r="B255" s="6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8" t="n"/>
      <c r="S255" s="8" t="n"/>
      <c r="T255" s="9">
        <f>IF(OR(R255="",R255=0),"",S255/R255)</f>
        <v/>
      </c>
      <c r="U255" s="8" t="n"/>
      <c r="V255" s="7" t="n"/>
    </row>
    <row r="256">
      <c r="A256" s="5">
        <f>IF(D256="","",ROW()-1)</f>
        <v/>
      </c>
      <c r="B256" s="6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8" t="n"/>
      <c r="S256" s="8" t="n"/>
      <c r="T256" s="9">
        <f>IF(OR(R256="",R256=0),"",S256/R256)</f>
        <v/>
      </c>
      <c r="U256" s="8" t="n"/>
      <c r="V256" s="7" t="n"/>
    </row>
    <row r="257">
      <c r="A257" s="5">
        <f>IF(D257="","",ROW()-1)</f>
        <v/>
      </c>
      <c r="B257" s="6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8" t="n"/>
      <c r="S257" s="8" t="n"/>
      <c r="T257" s="9">
        <f>IF(OR(R257="",R257=0),"",S257/R257)</f>
        <v/>
      </c>
      <c r="U257" s="8" t="n"/>
      <c r="V257" s="7" t="n"/>
    </row>
    <row r="258">
      <c r="A258" s="5">
        <f>IF(D258="","",ROW()-1)</f>
        <v/>
      </c>
      <c r="B258" s="6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8" t="n"/>
      <c r="S258" s="8" t="n"/>
      <c r="T258" s="9">
        <f>IF(OR(R258="",R258=0),"",S258/R258)</f>
        <v/>
      </c>
      <c r="U258" s="8" t="n"/>
      <c r="V258" s="7" t="n"/>
    </row>
    <row r="259">
      <c r="A259" s="5">
        <f>IF(D259="","",ROW()-1)</f>
        <v/>
      </c>
      <c r="B259" s="6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8" t="n"/>
      <c r="S259" s="8" t="n"/>
      <c r="T259" s="9">
        <f>IF(OR(R259="",R259=0),"",S259/R259)</f>
        <v/>
      </c>
      <c r="U259" s="8" t="n"/>
      <c r="V259" s="7" t="n"/>
    </row>
    <row r="260">
      <c r="A260" s="5">
        <f>IF(D260="","",ROW()-1)</f>
        <v/>
      </c>
      <c r="B260" s="6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8" t="n"/>
      <c r="S260" s="8" t="n"/>
      <c r="T260" s="9">
        <f>IF(OR(R260="",R260=0),"",S260/R260)</f>
        <v/>
      </c>
      <c r="U260" s="8" t="n"/>
      <c r="V260" s="7" t="n"/>
    </row>
    <row r="261">
      <c r="A261" s="5">
        <f>IF(D261="","",ROW()-1)</f>
        <v/>
      </c>
      <c r="B261" s="6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8" t="n"/>
      <c r="S261" s="8" t="n"/>
      <c r="T261" s="9">
        <f>IF(OR(R261="",R261=0),"",S261/R261)</f>
        <v/>
      </c>
      <c r="U261" s="8" t="n"/>
      <c r="V261" s="7" t="n"/>
    </row>
    <row r="262">
      <c r="A262" s="5">
        <f>IF(D262="","",ROW()-1)</f>
        <v/>
      </c>
      <c r="B262" s="6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8" t="n"/>
      <c r="S262" s="8" t="n"/>
      <c r="T262" s="9">
        <f>IF(OR(R262="",R262=0),"",S262/R262)</f>
        <v/>
      </c>
      <c r="U262" s="8" t="n"/>
      <c r="V262" s="7" t="n"/>
    </row>
    <row r="263">
      <c r="A263" s="5">
        <f>IF(D263="","",ROW()-1)</f>
        <v/>
      </c>
      <c r="B263" s="6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8" t="n"/>
      <c r="S263" s="8" t="n"/>
      <c r="T263" s="9">
        <f>IF(OR(R263="",R263=0),"",S263/R263)</f>
        <v/>
      </c>
      <c r="U263" s="8" t="n"/>
      <c r="V263" s="7" t="n"/>
    </row>
    <row r="264">
      <c r="A264" s="5">
        <f>IF(D264="","",ROW()-1)</f>
        <v/>
      </c>
      <c r="B264" s="6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8" t="n"/>
      <c r="S264" s="8" t="n"/>
      <c r="T264" s="9">
        <f>IF(OR(R264="",R264=0),"",S264/R264)</f>
        <v/>
      </c>
      <c r="U264" s="8" t="n"/>
      <c r="V264" s="7" t="n"/>
    </row>
    <row r="265">
      <c r="A265" s="5">
        <f>IF(D265="","",ROW()-1)</f>
        <v/>
      </c>
      <c r="B265" s="6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8" t="n"/>
      <c r="S265" s="8" t="n"/>
      <c r="T265" s="9">
        <f>IF(OR(R265="",R265=0),"",S265/R265)</f>
        <v/>
      </c>
      <c r="U265" s="8" t="n"/>
      <c r="V265" s="7" t="n"/>
    </row>
    <row r="266">
      <c r="A266" s="5">
        <f>IF(D266="","",ROW()-1)</f>
        <v/>
      </c>
      <c r="B266" s="6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8" t="n"/>
      <c r="S266" s="8" t="n"/>
      <c r="T266" s="9">
        <f>IF(OR(R266="",R266=0),"",S266/R266)</f>
        <v/>
      </c>
      <c r="U266" s="8" t="n"/>
      <c r="V266" s="7" t="n"/>
    </row>
    <row r="267">
      <c r="A267" s="5">
        <f>IF(D267="","",ROW()-1)</f>
        <v/>
      </c>
      <c r="B267" s="6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8" t="n"/>
      <c r="S267" s="8" t="n"/>
      <c r="T267" s="9">
        <f>IF(OR(R267="",R267=0),"",S267/R267)</f>
        <v/>
      </c>
      <c r="U267" s="8" t="n"/>
      <c r="V267" s="7" t="n"/>
    </row>
    <row r="268">
      <c r="A268" s="5">
        <f>IF(D268="","",ROW()-1)</f>
        <v/>
      </c>
      <c r="B268" s="6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8" t="n"/>
      <c r="S268" s="8" t="n"/>
      <c r="T268" s="9">
        <f>IF(OR(R268="",R268=0),"",S268/R268)</f>
        <v/>
      </c>
      <c r="U268" s="8" t="n"/>
      <c r="V268" s="7" t="n"/>
    </row>
    <row r="269">
      <c r="A269" s="5">
        <f>IF(D269="","",ROW()-1)</f>
        <v/>
      </c>
      <c r="B269" s="6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8" t="n"/>
      <c r="S269" s="8" t="n"/>
      <c r="T269" s="9">
        <f>IF(OR(R269="",R269=0),"",S269/R269)</f>
        <v/>
      </c>
      <c r="U269" s="8" t="n"/>
      <c r="V269" s="7" t="n"/>
    </row>
    <row r="270">
      <c r="A270" s="5">
        <f>IF(D270="","",ROW()-1)</f>
        <v/>
      </c>
      <c r="B270" s="6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8" t="n"/>
      <c r="S270" s="8" t="n"/>
      <c r="T270" s="9">
        <f>IF(OR(R270="",R270=0),"",S270/R270)</f>
        <v/>
      </c>
      <c r="U270" s="8" t="n"/>
      <c r="V270" s="7" t="n"/>
    </row>
    <row r="271">
      <c r="A271" s="5">
        <f>IF(D271="","",ROW()-1)</f>
        <v/>
      </c>
      <c r="B271" s="6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8" t="n"/>
      <c r="S271" s="8" t="n"/>
      <c r="T271" s="9">
        <f>IF(OR(R271="",R271=0),"",S271/R271)</f>
        <v/>
      </c>
      <c r="U271" s="8" t="n"/>
      <c r="V271" s="7" t="n"/>
    </row>
    <row r="272">
      <c r="A272" s="5">
        <f>IF(D272="","",ROW()-1)</f>
        <v/>
      </c>
      <c r="B272" s="6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8" t="n"/>
      <c r="S272" s="8" t="n"/>
      <c r="T272" s="9">
        <f>IF(OR(R272="",R272=0),"",S272/R272)</f>
        <v/>
      </c>
      <c r="U272" s="8" t="n"/>
      <c r="V272" s="7" t="n"/>
    </row>
    <row r="273">
      <c r="A273" s="5">
        <f>IF(D273="","",ROW()-1)</f>
        <v/>
      </c>
      <c r="B273" s="6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8" t="n"/>
      <c r="S273" s="8" t="n"/>
      <c r="T273" s="9">
        <f>IF(OR(R273="",R273=0),"",S273/R273)</f>
        <v/>
      </c>
      <c r="U273" s="8" t="n"/>
      <c r="V273" s="7" t="n"/>
    </row>
    <row r="274">
      <c r="A274" s="5">
        <f>IF(D274="","",ROW()-1)</f>
        <v/>
      </c>
      <c r="B274" s="6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8" t="n"/>
      <c r="S274" s="8" t="n"/>
      <c r="T274" s="9">
        <f>IF(OR(R274="",R274=0),"",S274/R274)</f>
        <v/>
      </c>
      <c r="U274" s="8" t="n"/>
      <c r="V274" s="7" t="n"/>
    </row>
    <row r="275">
      <c r="A275" s="5">
        <f>IF(D275="","",ROW()-1)</f>
        <v/>
      </c>
      <c r="B275" s="6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8" t="n"/>
      <c r="S275" s="8" t="n"/>
      <c r="T275" s="9">
        <f>IF(OR(R275="",R275=0),"",S275/R275)</f>
        <v/>
      </c>
      <c r="U275" s="8" t="n"/>
      <c r="V275" s="7" t="n"/>
    </row>
    <row r="276">
      <c r="A276" s="5">
        <f>IF(D276="","",ROW()-1)</f>
        <v/>
      </c>
      <c r="B276" s="6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8" t="n"/>
      <c r="S276" s="8" t="n"/>
      <c r="T276" s="9">
        <f>IF(OR(R276="",R276=0),"",S276/R276)</f>
        <v/>
      </c>
      <c r="U276" s="8" t="n"/>
      <c r="V276" s="7" t="n"/>
    </row>
    <row r="277">
      <c r="A277" s="5">
        <f>IF(D277="","",ROW()-1)</f>
        <v/>
      </c>
      <c r="B277" s="6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8" t="n"/>
      <c r="S277" s="8" t="n"/>
      <c r="T277" s="9">
        <f>IF(OR(R277="",R277=0),"",S277/R277)</f>
        <v/>
      </c>
      <c r="U277" s="8" t="n"/>
      <c r="V277" s="7" t="n"/>
    </row>
    <row r="278">
      <c r="A278" s="5">
        <f>IF(D278="","",ROW()-1)</f>
        <v/>
      </c>
      <c r="B278" s="6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8" t="n"/>
      <c r="S278" s="8" t="n"/>
      <c r="T278" s="9">
        <f>IF(OR(R278="",R278=0),"",S278/R278)</f>
        <v/>
      </c>
      <c r="U278" s="8" t="n"/>
      <c r="V278" s="7" t="n"/>
    </row>
    <row r="279">
      <c r="A279" s="5">
        <f>IF(D279="","",ROW()-1)</f>
        <v/>
      </c>
      <c r="B279" s="6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8" t="n"/>
      <c r="S279" s="8" t="n"/>
      <c r="T279" s="9">
        <f>IF(OR(R279="",R279=0),"",S279/R279)</f>
        <v/>
      </c>
      <c r="U279" s="8" t="n"/>
      <c r="V279" s="7" t="n"/>
    </row>
    <row r="280">
      <c r="A280" s="5">
        <f>IF(D280="","",ROW()-1)</f>
        <v/>
      </c>
      <c r="B280" s="6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8" t="n"/>
      <c r="S280" s="8" t="n"/>
      <c r="T280" s="9">
        <f>IF(OR(R280="",R280=0),"",S280/R280)</f>
        <v/>
      </c>
      <c r="U280" s="8" t="n"/>
      <c r="V280" s="7" t="n"/>
    </row>
    <row r="281">
      <c r="A281" s="5">
        <f>IF(D281="","",ROW()-1)</f>
        <v/>
      </c>
      <c r="B281" s="6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8" t="n"/>
      <c r="S281" s="8" t="n"/>
      <c r="T281" s="9">
        <f>IF(OR(R281="",R281=0),"",S281/R281)</f>
        <v/>
      </c>
      <c r="U281" s="8" t="n"/>
      <c r="V281" s="7" t="n"/>
    </row>
    <row r="282">
      <c r="A282" s="5">
        <f>IF(D282="","",ROW()-1)</f>
        <v/>
      </c>
      <c r="B282" s="6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8" t="n"/>
      <c r="S282" s="8" t="n"/>
      <c r="T282" s="9">
        <f>IF(OR(R282="",R282=0),"",S282/R282)</f>
        <v/>
      </c>
      <c r="U282" s="8" t="n"/>
      <c r="V282" s="7" t="n"/>
    </row>
    <row r="283">
      <c r="A283" s="5">
        <f>IF(D283="","",ROW()-1)</f>
        <v/>
      </c>
      <c r="B283" s="6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8" t="n"/>
      <c r="S283" s="8" t="n"/>
      <c r="T283" s="9">
        <f>IF(OR(R283="",R283=0),"",S283/R283)</f>
        <v/>
      </c>
      <c r="U283" s="8" t="n"/>
      <c r="V283" s="7" t="n"/>
    </row>
    <row r="284">
      <c r="A284" s="5">
        <f>IF(D284="","",ROW()-1)</f>
        <v/>
      </c>
      <c r="B284" s="6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8" t="n"/>
      <c r="S284" s="8" t="n"/>
      <c r="T284" s="9">
        <f>IF(OR(R284="",R284=0),"",S284/R284)</f>
        <v/>
      </c>
      <c r="U284" s="8" t="n"/>
      <c r="V284" s="7" t="n"/>
    </row>
    <row r="285">
      <c r="A285" s="5">
        <f>IF(D285="","",ROW()-1)</f>
        <v/>
      </c>
      <c r="B285" s="6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8" t="n"/>
      <c r="S285" s="8" t="n"/>
      <c r="T285" s="9">
        <f>IF(OR(R285="",R285=0),"",S285/R285)</f>
        <v/>
      </c>
      <c r="U285" s="8" t="n"/>
      <c r="V285" s="7" t="n"/>
    </row>
    <row r="286">
      <c r="A286" s="5">
        <f>IF(D286="","",ROW()-1)</f>
        <v/>
      </c>
      <c r="B286" s="6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8" t="n"/>
      <c r="S286" s="8" t="n"/>
      <c r="T286" s="9">
        <f>IF(OR(R286="",R286=0),"",S286/R286)</f>
        <v/>
      </c>
      <c r="U286" s="8" t="n"/>
      <c r="V286" s="7" t="n"/>
    </row>
    <row r="287">
      <c r="A287" s="5">
        <f>IF(D287="","",ROW()-1)</f>
        <v/>
      </c>
      <c r="B287" s="6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8" t="n"/>
      <c r="S287" s="8" t="n"/>
      <c r="T287" s="9">
        <f>IF(OR(R287="",R287=0),"",S287/R287)</f>
        <v/>
      </c>
      <c r="U287" s="8" t="n"/>
      <c r="V287" s="7" t="n"/>
    </row>
    <row r="288">
      <c r="A288" s="5">
        <f>IF(D288="","",ROW()-1)</f>
        <v/>
      </c>
      <c r="B288" s="6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8" t="n"/>
      <c r="S288" s="8" t="n"/>
      <c r="T288" s="9">
        <f>IF(OR(R288="",R288=0),"",S288/R288)</f>
        <v/>
      </c>
      <c r="U288" s="8" t="n"/>
      <c r="V288" s="7" t="n"/>
    </row>
    <row r="289">
      <c r="A289" s="5">
        <f>IF(D289="","",ROW()-1)</f>
        <v/>
      </c>
      <c r="B289" s="6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8" t="n"/>
      <c r="S289" s="8" t="n"/>
      <c r="T289" s="9">
        <f>IF(OR(R289="",R289=0),"",S289/R289)</f>
        <v/>
      </c>
      <c r="U289" s="8" t="n"/>
      <c r="V289" s="7" t="n"/>
    </row>
    <row r="290">
      <c r="A290" s="5">
        <f>IF(D290="","",ROW()-1)</f>
        <v/>
      </c>
      <c r="B290" s="6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8" t="n"/>
      <c r="S290" s="8" t="n"/>
      <c r="T290" s="9">
        <f>IF(OR(R290="",R290=0),"",S290/R290)</f>
        <v/>
      </c>
      <c r="U290" s="8" t="n"/>
      <c r="V290" s="7" t="n"/>
    </row>
    <row r="291">
      <c r="A291" s="5">
        <f>IF(D291="","",ROW()-1)</f>
        <v/>
      </c>
      <c r="B291" s="6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8" t="n"/>
      <c r="S291" s="8" t="n"/>
      <c r="T291" s="9">
        <f>IF(OR(R291="",R291=0),"",S291/R291)</f>
        <v/>
      </c>
      <c r="U291" s="8" t="n"/>
      <c r="V291" s="7" t="n"/>
    </row>
    <row r="292">
      <c r="A292" s="5">
        <f>IF(D292="","",ROW()-1)</f>
        <v/>
      </c>
      <c r="B292" s="6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8" t="n"/>
      <c r="S292" s="8" t="n"/>
      <c r="T292" s="9">
        <f>IF(OR(R292="",R292=0),"",S292/R292)</f>
        <v/>
      </c>
      <c r="U292" s="8" t="n"/>
      <c r="V292" s="7" t="n"/>
    </row>
    <row r="293">
      <c r="A293" s="5">
        <f>IF(D293="","",ROW()-1)</f>
        <v/>
      </c>
      <c r="B293" s="6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8" t="n"/>
      <c r="S293" s="8" t="n"/>
      <c r="T293" s="9">
        <f>IF(OR(R293="",R293=0),"",S293/R293)</f>
        <v/>
      </c>
      <c r="U293" s="8" t="n"/>
      <c r="V293" s="7" t="n"/>
    </row>
    <row r="294">
      <c r="A294" s="5">
        <f>IF(D294="","",ROW()-1)</f>
        <v/>
      </c>
      <c r="B294" s="6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8" t="n"/>
      <c r="S294" s="8" t="n"/>
      <c r="T294" s="9">
        <f>IF(OR(R294="",R294=0),"",S294/R294)</f>
        <v/>
      </c>
      <c r="U294" s="8" t="n"/>
      <c r="V294" s="7" t="n"/>
    </row>
    <row r="295">
      <c r="A295" s="5">
        <f>IF(D295="","",ROW()-1)</f>
        <v/>
      </c>
      <c r="B295" s="6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8" t="n"/>
      <c r="S295" s="8" t="n"/>
      <c r="T295" s="9">
        <f>IF(OR(R295="",R295=0),"",S295/R295)</f>
        <v/>
      </c>
      <c r="U295" s="8" t="n"/>
      <c r="V295" s="7" t="n"/>
    </row>
    <row r="296">
      <c r="A296" s="5">
        <f>IF(D296="","",ROW()-1)</f>
        <v/>
      </c>
      <c r="B296" s="6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8" t="n"/>
      <c r="S296" s="8" t="n"/>
      <c r="T296" s="9">
        <f>IF(OR(R296="",R296=0),"",S296/R296)</f>
        <v/>
      </c>
      <c r="U296" s="8" t="n"/>
      <c r="V296" s="7" t="n"/>
    </row>
    <row r="297">
      <c r="A297" s="5">
        <f>IF(D297="","",ROW()-1)</f>
        <v/>
      </c>
      <c r="B297" s="6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8" t="n"/>
      <c r="S297" s="8" t="n"/>
      <c r="T297" s="9">
        <f>IF(OR(R297="",R297=0),"",S297/R297)</f>
        <v/>
      </c>
      <c r="U297" s="8" t="n"/>
      <c r="V297" s="7" t="n"/>
    </row>
    <row r="298">
      <c r="A298" s="5">
        <f>IF(D298="","",ROW()-1)</f>
        <v/>
      </c>
      <c r="B298" s="6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8" t="n"/>
      <c r="S298" s="8" t="n"/>
      <c r="T298" s="9">
        <f>IF(OR(R298="",R298=0),"",S298/R298)</f>
        <v/>
      </c>
      <c r="U298" s="8" t="n"/>
      <c r="V298" s="7" t="n"/>
    </row>
    <row r="299">
      <c r="A299" s="5">
        <f>IF(D299="","",ROW()-1)</f>
        <v/>
      </c>
      <c r="B299" s="6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8" t="n"/>
      <c r="S299" s="8" t="n"/>
      <c r="T299" s="9">
        <f>IF(OR(R299="",R299=0),"",S299/R299)</f>
        <v/>
      </c>
      <c r="U299" s="8" t="n"/>
      <c r="V299" s="7" t="n"/>
    </row>
    <row r="300">
      <c r="A300" s="5">
        <f>IF(D300="","",ROW()-1)</f>
        <v/>
      </c>
      <c r="B300" s="6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8" t="n"/>
      <c r="S300" s="8" t="n"/>
      <c r="T300" s="9">
        <f>IF(OR(R300="",R300=0),"",S300/R300)</f>
        <v/>
      </c>
      <c r="U300" s="8" t="n"/>
      <c r="V300" s="7" t="n"/>
    </row>
  </sheetData>
  <autoFilter ref="A1:V300"/>
  <conditionalFormatting sqref="C2:C300">
    <cfRule type="cellIs" priority="1" operator="equal" dxfId="0">
      <formula>"Publié"</formula>
    </cfRule>
    <cfRule type="cellIs" priority="2" operator="equal" dxfId="1">
      <formula>"Validé"</formula>
    </cfRule>
    <cfRule type="cellIs" priority="3" operator="equal" dxfId="1">
      <formula>"Programmé"</formula>
    </cfRule>
    <cfRule type="cellIs" priority="4" operator="equal" dxfId="2">
      <formula>"En validation"</formula>
    </cfRule>
    <cfRule type="cellIs" priority="5" operator="equal" dxfId="3">
      <formula>"Abandonné"</formula>
    </cfRule>
  </conditionalFormatting>
  <conditionalFormatting sqref="O2:O300">
    <cfRule type="expression" priority="6" dxfId="4">
      <formula>AND($D2&lt;&gt;"",$O2="À faire")</formula>
    </cfRule>
  </conditionalFormatting>
  <dataValidations count="9">
    <dataValidation sqref="C2:C300" showDropDown="0" showInputMessage="0" showErrorMessage="1" allowBlank="1" error="Choisis une valeur de la liste (onglet Listes)" type="list">
      <formula1>=Listes!$A$2:$A$30</formula1>
    </dataValidation>
    <dataValidation sqref="F2:F300" showDropDown="0" showInputMessage="0" showErrorMessage="1" allowBlank="1" error="Choisis une valeur de la liste (onglet Listes)" type="list">
      <formula1>=Listes!$B$2:$B$30</formula1>
    </dataValidation>
    <dataValidation sqref="G2:G300" showDropDown="0" showInputMessage="0" showErrorMessage="1" allowBlank="1" error="Choisis une valeur de la liste (onglet Listes)" type="list">
      <formula1>=Listes!$C$2:$C$30</formula1>
    </dataValidation>
    <dataValidation sqref="H2:H300" showDropDown="0" showInputMessage="0" showErrorMessage="1" allowBlank="1" error="Choisis une valeur de la liste (onglet Listes)" type="list">
      <formula1>=Listes!$D$2:$D$30</formula1>
    </dataValidation>
    <dataValidation sqref="I2:I300" showDropDown="0" showInputMessage="0" showErrorMessage="1" allowBlank="1" error="Choisis une valeur de la liste (onglet Listes)" type="list">
      <formula1>=Listes!$E$2:$E$30</formula1>
    </dataValidation>
    <dataValidation sqref="J2:J300" showDropDown="0" showInputMessage="0" showErrorMessage="1" allowBlank="1" error="Choisis une valeur de la liste (onglet Listes)" type="list">
      <formula1>=Listes!$F$2:$F$30</formula1>
    </dataValidation>
    <dataValidation sqref="K2:K300" showDropDown="0" showInputMessage="0" showErrorMessage="1" allowBlank="1" error="Choisis une valeur de la liste (onglet Listes)" type="list">
      <formula1>=Listes!$G$2:$G$30</formula1>
    </dataValidation>
    <dataValidation sqref="L2:L300" showDropDown="0" showInputMessage="0" showErrorMessage="1" allowBlank="1" error="Choisis une valeur de la liste (onglet Listes)" type="list">
      <formula1>=Listes!$H$2:$H$30</formula1>
    </dataValidation>
    <dataValidation sqref="O2:O300" showDropDown="0" showInputMessage="0" showErrorMessage="1" allowBlank="1" error="Choisis une valeur de la liste (onglet Listes)" type="list">
      <formula1>=Listes!$I$2:$I$30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0" t="inlineStr">
        <is>
          <t>Tableau de bord des idées de posts</t>
        </is>
      </c>
    </row>
    <row r="2">
      <c r="A2" s="11" t="inlineStr">
        <is>
          <t>Calculé automatiquement à partir de l'onglet « Idées de posts ». Seules les cellules bleues (objectifs) sont modifiables.</t>
        </is>
      </c>
    </row>
    <row r="4">
      <c r="A4" s="12" t="inlineStr">
        <is>
          <t>Nombre total d'idées</t>
        </is>
      </c>
      <c r="B4" s="12">
        <f>COUNTA('Idées de posts'!$D$2:$D$300)</f>
        <v/>
      </c>
    </row>
    <row r="6">
      <c r="A6" s="4" t="inlineStr">
        <is>
          <t>Par statut</t>
        </is>
      </c>
      <c r="B6" s="4" t="inlineStr">
        <is>
          <t>Nombre</t>
        </is>
      </c>
      <c r="C6" s="4" t="inlineStr">
        <is>
          <t>Part</t>
        </is>
      </c>
    </row>
    <row r="7">
      <c r="A7" s="13" t="inlineStr">
        <is>
          <t>Idée</t>
        </is>
      </c>
      <c r="B7" s="13">
        <f>COUNTIF('Idées de posts'!$C$2:$C$300,A7)</f>
        <v/>
      </c>
      <c r="C7" s="14">
        <f>IF($B$4=0,0,B7/$B$4)</f>
        <v/>
      </c>
    </row>
    <row r="8">
      <c r="A8" s="13" t="inlineStr">
        <is>
          <t>À rédiger</t>
        </is>
      </c>
      <c r="B8" s="13">
        <f>COUNTIF('Idées de posts'!$C$2:$C$300,A8)</f>
        <v/>
      </c>
      <c r="C8" s="14">
        <f>IF($B$4=0,0,B8/$B$4)</f>
        <v/>
      </c>
    </row>
    <row r="9">
      <c r="A9" s="13" t="inlineStr">
        <is>
          <t>En création visuelle</t>
        </is>
      </c>
      <c r="B9" s="13">
        <f>COUNTIF('Idées de posts'!$C$2:$C$300,A9)</f>
        <v/>
      </c>
      <c r="C9" s="14">
        <f>IF($B$4=0,0,B9/$B$4)</f>
        <v/>
      </c>
    </row>
    <row r="10">
      <c r="A10" s="13" t="inlineStr">
        <is>
          <t>En validation</t>
        </is>
      </c>
      <c r="B10" s="13">
        <f>COUNTIF('Idées de posts'!$C$2:$C$300,A10)</f>
        <v/>
      </c>
      <c r="C10" s="14">
        <f>IF($B$4=0,0,B10/$B$4)</f>
        <v/>
      </c>
    </row>
    <row r="11">
      <c r="A11" s="13" t="inlineStr">
        <is>
          <t>Validé</t>
        </is>
      </c>
      <c r="B11" s="13">
        <f>COUNTIF('Idées de posts'!$C$2:$C$300,A11)</f>
        <v/>
      </c>
      <c r="C11" s="14">
        <f>IF($B$4=0,0,B11/$B$4)</f>
        <v/>
      </c>
    </row>
    <row r="12">
      <c r="A12" s="13" t="inlineStr">
        <is>
          <t>Programmé</t>
        </is>
      </c>
      <c r="B12" s="13">
        <f>COUNTIF('Idées de posts'!$C$2:$C$300,A12)</f>
        <v/>
      </c>
      <c r="C12" s="14">
        <f>IF($B$4=0,0,B12/$B$4)</f>
        <v/>
      </c>
    </row>
    <row r="13">
      <c r="A13" s="13" t="inlineStr">
        <is>
          <t>Publié</t>
        </is>
      </c>
      <c r="B13" s="13">
        <f>COUNTIF('Idées de posts'!$C$2:$C$300,A13)</f>
        <v/>
      </c>
      <c r="C13" s="14">
        <f>IF($B$4=0,0,B13/$B$4)</f>
        <v/>
      </c>
    </row>
    <row r="14">
      <c r="A14" s="13" t="inlineStr">
        <is>
          <t>Abandonné</t>
        </is>
      </c>
      <c r="B14" s="13">
        <f>COUNTIF('Idées de posts'!$C$2:$C$300,A14)</f>
        <v/>
      </c>
      <c r="C14" s="14">
        <f>IF($B$4=0,0,B14/$B$4)</f>
        <v/>
      </c>
    </row>
    <row r="16">
      <c r="A16" s="4" t="inlineStr">
        <is>
          <t>Par persona</t>
        </is>
      </c>
      <c r="B16" s="4" t="inlineStr">
        <is>
          <t>Nombre</t>
        </is>
      </c>
      <c r="C16" s="4" t="inlineStr">
        <is>
          <t>Part</t>
        </is>
      </c>
    </row>
    <row r="17">
      <c r="A17" s="13" t="inlineStr">
        <is>
          <t>Inès (fondatrice start-up)</t>
        </is>
      </c>
      <c r="B17" s="13">
        <f>COUNTIF('Idées de posts'!$F$2:$F$300,A17)</f>
        <v/>
      </c>
      <c r="C17" s="14">
        <f>IF($B$4=0,0,B17/$B$4)</f>
        <v/>
      </c>
    </row>
    <row r="18">
      <c r="A18" s="13" t="inlineStr">
        <is>
          <t>Maya (freelance)</t>
        </is>
      </c>
      <c r="B18" s="13">
        <f>COUNTIF('Idées de posts'!$F$2:$F$300,A18)</f>
        <v/>
      </c>
      <c r="C18" s="14">
        <f>IF($B$4=0,0,B18/$B$4)</f>
        <v/>
      </c>
    </row>
    <row r="19">
      <c r="A19" s="13" t="inlineStr">
        <is>
          <t>Sofia (praticienne)</t>
        </is>
      </c>
      <c r="B19" s="13">
        <f>COUNTIF('Idées de posts'!$F$2:$F$300,A19)</f>
        <v/>
      </c>
      <c r="C19" s="14">
        <f>IF($B$4=0,0,B19/$B$4)</f>
        <v/>
      </c>
    </row>
    <row r="20">
      <c r="A20" s="13" t="inlineStr">
        <is>
          <t>Toutes</t>
        </is>
      </c>
      <c r="B20" s="13">
        <f>COUNTIF('Idées de posts'!$F$2:$F$300,A20)</f>
        <v/>
      </c>
      <c r="C20" s="14">
        <f>IF($B$4=0,0,B20/$B$4)</f>
        <v/>
      </c>
    </row>
    <row r="22">
      <c r="A22" s="4" t="inlineStr">
        <is>
          <t>Par niveau de conscience</t>
        </is>
      </c>
      <c r="B22" s="4" t="inlineStr">
        <is>
          <t>Nombre</t>
        </is>
      </c>
      <c r="C22" s="4" t="inlineStr">
        <is>
          <t>Part</t>
        </is>
      </c>
    </row>
    <row r="23">
      <c r="A23" s="13" t="inlineStr">
        <is>
          <t>1 - Pas consciente</t>
        </is>
      </c>
      <c r="B23" s="13">
        <f>COUNTIF('Idées de posts'!$G$2:$G$300,A23)</f>
        <v/>
      </c>
      <c r="C23" s="14">
        <f>IF($B$4=0,0,B23/$B$4)</f>
        <v/>
      </c>
    </row>
    <row r="24">
      <c r="A24" s="13" t="inlineStr">
        <is>
          <t>2 - Consciente du problème</t>
        </is>
      </c>
      <c r="B24" s="13">
        <f>COUNTIF('Idées de posts'!$G$2:$G$300,A24)</f>
        <v/>
      </c>
      <c r="C24" s="14">
        <f>IF($B$4=0,0,B24/$B$4)</f>
        <v/>
      </c>
    </row>
    <row r="25">
      <c r="A25" s="13" t="inlineStr">
        <is>
          <t>3 - Connaît les solutions</t>
        </is>
      </c>
      <c r="B25" s="13">
        <f>COUNTIF('Idées de posts'!$G$2:$G$300,A25)</f>
        <v/>
      </c>
      <c r="C25" s="14">
        <f>IF($B$4=0,0,B25/$B$4)</f>
        <v/>
      </c>
    </row>
    <row r="26">
      <c r="A26" s="13" t="inlineStr">
        <is>
          <t>4 - Connaît RG</t>
        </is>
      </c>
      <c r="B26" s="13">
        <f>COUNTIF('Idées de posts'!$G$2:$G$300,A26)</f>
        <v/>
      </c>
      <c r="C26" s="14">
        <f>IF($B$4=0,0,B26/$B$4)</f>
        <v/>
      </c>
    </row>
    <row r="27">
      <c r="A27" s="13" t="inlineStr">
        <is>
          <t>5 - Prête</t>
        </is>
      </c>
      <c r="B27" s="13">
        <f>COUNTIF('Idées de posts'!$G$2:$G$300,A27)</f>
        <v/>
      </c>
      <c r="C27" s="14">
        <f>IF($B$4=0,0,B27/$B$4)</f>
        <v/>
      </c>
    </row>
    <row r="28">
      <c r="A28" s="15" t="inlineStr">
        <is>
          <t>Niveaux 1 à 3 (objectif ≈ 60 %)</t>
        </is>
      </c>
      <c r="C28" s="16">
        <f>SUM(C23:C25)</f>
        <v/>
      </c>
    </row>
    <row r="30">
      <c r="A30" s="4" t="inlineStr">
        <is>
          <t>Par pilier de contenu</t>
        </is>
      </c>
      <c r="B30" s="4" t="inlineStr">
        <is>
          <t>Nombre</t>
        </is>
      </c>
      <c r="C30" s="4" t="inlineStr">
        <is>
          <t>Part</t>
        </is>
      </c>
      <c r="D30" s="4" t="inlineStr">
        <is>
          <t>Objectif</t>
        </is>
      </c>
      <c r="E30" s="4" t="inlineStr">
        <is>
          <t>Écart</t>
        </is>
      </c>
    </row>
    <row r="31">
      <c r="A31" s="13" t="inlineStr">
        <is>
          <t>Inspiration</t>
        </is>
      </c>
      <c r="B31" s="13">
        <f>COUNTIF('Idées de posts'!$H$2:$H$300,A31)</f>
        <v/>
      </c>
      <c r="C31" s="14">
        <f>IF($B$4=0,0,B31/$B$4)</f>
        <v/>
      </c>
      <c r="D31" s="17" t="n">
        <v>0.4</v>
      </c>
      <c r="E31" s="18">
        <f>C31-D31</f>
        <v/>
      </c>
    </row>
    <row r="32">
      <c r="A32" s="13" t="inlineStr">
        <is>
          <t>Éducation</t>
        </is>
      </c>
      <c r="B32" s="13">
        <f>COUNTIF('Idées de posts'!$H$2:$H$300,A32)</f>
        <v/>
      </c>
      <c r="C32" s="14">
        <f>IF($B$4=0,0,B32/$B$4)</f>
        <v/>
      </c>
      <c r="D32" s="17" t="n">
        <v>0.3</v>
      </c>
      <c r="E32" s="18">
        <f>C32-D32</f>
        <v/>
      </c>
    </row>
    <row r="33">
      <c r="A33" s="13" t="inlineStr">
        <is>
          <t>Preuve / Marque</t>
        </is>
      </c>
      <c r="B33" s="13">
        <f>COUNTIF('Idées de posts'!$H$2:$H$300,A33)</f>
        <v/>
      </c>
      <c r="C33" s="14">
        <f>IF($B$4=0,0,B33/$B$4)</f>
        <v/>
      </c>
      <c r="D33" s="17" t="n">
        <v>0.2</v>
      </c>
      <c r="E33" s="18">
        <f>C33-D33</f>
        <v/>
      </c>
    </row>
    <row r="34">
      <c r="A34" s="13" t="inlineStr">
        <is>
          <t>Conversion</t>
        </is>
      </c>
      <c r="B34" s="13">
        <f>COUNTIF('Idées de posts'!$H$2:$H$300,A34)</f>
        <v/>
      </c>
      <c r="C34" s="14">
        <f>IF($B$4=0,0,B34/$B$4)</f>
        <v/>
      </c>
      <c r="D34" s="17" t="n">
        <v>0.1</v>
      </c>
      <c r="E34" s="18">
        <f>C34-D34</f>
        <v/>
      </c>
    </row>
    <row r="35">
      <c r="A35" s="11" t="inlineStr">
        <is>
          <t>Objectifs en bleu = mix recommandé, modifiable.</t>
        </is>
      </c>
    </row>
    <row r="37">
      <c r="A37" s="4" t="inlineStr">
        <is>
          <t>Par canal</t>
        </is>
      </c>
      <c r="B37" s="4" t="inlineStr">
        <is>
          <t>Nombre</t>
        </is>
      </c>
      <c r="C37" s="4" t="inlineStr">
        <is>
          <t>Part</t>
        </is>
      </c>
    </row>
    <row r="38">
      <c r="A38" s="13" t="inlineStr">
        <is>
          <t>Instagram</t>
        </is>
      </c>
      <c r="B38" s="13">
        <f>COUNTIF('Idées de posts'!$I$2:$I$300,A38)</f>
        <v/>
      </c>
      <c r="C38" s="14">
        <f>IF($B$4=0,0,B38/$B$4)</f>
        <v/>
      </c>
    </row>
    <row r="39">
      <c r="A39" s="13" t="inlineStr">
        <is>
          <t>LinkedIn</t>
        </is>
      </c>
      <c r="B39" s="13">
        <f>COUNTIF('Idées de posts'!$I$2:$I$300,A39)</f>
        <v/>
      </c>
      <c r="C39" s="14">
        <f>IF($B$4=0,0,B39/$B$4)</f>
        <v/>
      </c>
    </row>
    <row r="40">
      <c r="A40" s="13" t="inlineStr">
        <is>
          <t>TikTok</t>
        </is>
      </c>
      <c r="B40" s="13">
        <f>COUNTIF('Idées de posts'!$I$2:$I$300,A40)</f>
        <v/>
      </c>
      <c r="C40" s="14">
        <f>IF($B$4=0,0,B40/$B$4)</f>
        <v/>
      </c>
    </row>
    <row r="41">
      <c r="A41" s="13" t="inlineStr">
        <is>
          <t>Newsletter</t>
        </is>
      </c>
      <c r="B41" s="13">
        <f>COUNTIF('Idées de posts'!$I$2:$I$300,A41)</f>
        <v/>
      </c>
      <c r="C41" s="14">
        <f>IF($B$4=0,0,B41/$B$4)</f>
        <v/>
      </c>
    </row>
    <row r="42">
      <c r="A42" s="13" t="inlineStr">
        <is>
          <t>WhatsApp</t>
        </is>
      </c>
      <c r="B42" s="13">
        <f>COUNTIF('Idées de posts'!$I$2:$I$300,A42)</f>
        <v/>
      </c>
      <c r="C42" s="14">
        <f>IF($B$4=0,0,B42/$B$4)</f>
        <v/>
      </c>
    </row>
    <row r="43">
      <c r="A43" s="13" t="inlineStr">
        <is>
          <t>Événement</t>
        </is>
      </c>
      <c r="B43" s="13">
        <f>COUNTIF('Idées de posts'!$I$2:$I$300,A43)</f>
        <v/>
      </c>
      <c r="C43" s="14">
        <f>IF($B$4=0,0,B43/$B$4)</f>
        <v/>
      </c>
    </row>
    <row r="44">
      <c r="A44" s="13" t="inlineStr">
        <is>
          <t>Blog L'Annexe</t>
        </is>
      </c>
      <c r="B44" s="13">
        <f>COUNTIF('Idées de posts'!$I$2:$I$300,A44)</f>
        <v/>
      </c>
      <c r="C44" s="14">
        <f>IF($B$4=0,0,B44/$B$4)</f>
        <v/>
      </c>
    </row>
    <row r="46">
      <c r="A46" s="4" t="inlineStr">
        <is>
          <t>Par marque</t>
        </is>
      </c>
      <c r="B46" s="4" t="inlineStr">
        <is>
          <t>Nombre</t>
        </is>
      </c>
      <c r="C46" s="4" t="inlineStr">
        <is>
          <t>Part</t>
        </is>
      </c>
    </row>
    <row r="47">
      <c r="A47" s="13" t="inlineStr">
        <is>
          <t>L'Annexe by RG</t>
        </is>
      </c>
      <c r="B47" s="13">
        <f>COUNTIF('Idées de posts'!$K$2:$K$300,A47)</f>
        <v/>
      </c>
      <c r="C47" s="14">
        <f>IF($B$4=0,0,B47/$B$4)</f>
        <v/>
      </c>
    </row>
    <row r="48">
      <c r="A48" s="13" t="inlineStr">
        <is>
          <t>Rentes Genevoises</t>
        </is>
      </c>
      <c r="B48" s="13">
        <f>COUNTIF('Idées de posts'!$K$2:$K$300,A48)</f>
        <v/>
      </c>
      <c r="C48" s="14">
        <f>IF($B$4=0,0,B48/$B$4)</f>
        <v/>
      </c>
    </row>
    <row r="50">
      <c r="A50" s="4" t="inlineStr">
        <is>
          <t>Performance (posts publiés)</t>
        </is>
      </c>
      <c r="B50" s="4" t="inlineStr">
        <is>
          <t>Valeur</t>
        </is>
      </c>
    </row>
    <row r="51">
      <c r="A51" s="19" t="inlineStr">
        <is>
          <t>Posts publiés</t>
        </is>
      </c>
      <c r="B51" s="20">
        <f>COUNTIF('Idées de posts'!$C$2:$C$300,"Publié")</f>
        <v/>
      </c>
    </row>
    <row r="52">
      <c r="A52" s="19" t="inlineStr">
        <is>
          <t>Portée totale</t>
        </is>
      </c>
      <c r="B52" s="21">
        <f>SUM('Idées de posts'!$R$2:$R$300)</f>
        <v/>
      </c>
    </row>
    <row r="53">
      <c r="A53" s="19" t="inlineStr">
        <is>
          <t>Interactions totales</t>
        </is>
      </c>
      <c r="B53" s="21">
        <f>SUM('Idées de posts'!$S$2:$S$300)</f>
        <v/>
      </c>
    </row>
    <row r="54">
      <c r="A54" s="19" t="inlineStr">
        <is>
          <t>Taux d'engagement moyen</t>
        </is>
      </c>
      <c r="B54" s="22">
        <f>IF(B52=0,0,B53/B52)</f>
        <v/>
      </c>
    </row>
    <row r="55">
      <c r="A55" s="19" t="inlineStr">
        <is>
          <t>Clics totaux</t>
        </is>
      </c>
      <c r="B55" s="21">
        <f>SUM('Idées de posts'!$U$2:$U$300)</f>
        <v/>
      </c>
    </row>
    <row r="56">
      <c r="A56" s="19" t="inlineStr">
        <is>
          <t>Idées sans validation conformité</t>
        </is>
      </c>
      <c r="B56" s="20">
        <f>COUNTIFS('Idées de posts'!$O$2:$O$300,"À faire",'Idées de posts'!$C$2:$C$300,"&lt;&gt;Abandonné")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4" t="inlineStr">
        <is>
          <t>Statut</t>
        </is>
      </c>
      <c r="B1" s="4" t="inlineStr">
        <is>
          <t>Persona</t>
        </is>
      </c>
      <c r="C1" s="4" t="inlineStr">
        <is>
          <t>Niveau de conscience</t>
        </is>
      </c>
      <c r="D1" s="4" t="inlineStr">
        <is>
          <t>Pilier</t>
        </is>
      </c>
      <c r="E1" s="4" t="inlineStr">
        <is>
          <t>Canal</t>
        </is>
      </c>
      <c r="F1" s="4" t="inlineStr">
        <is>
          <t>Format</t>
        </is>
      </c>
      <c r="G1" s="4" t="inlineStr">
        <is>
          <t>Marque</t>
        </is>
      </c>
      <c r="H1" s="4" t="inlineStr">
        <is>
          <t>Ton</t>
        </is>
      </c>
      <c r="I1" s="4" t="inlineStr">
        <is>
          <t>Conformité</t>
        </is>
      </c>
    </row>
    <row r="2">
      <c r="A2" s="23" t="inlineStr">
        <is>
          <t>Idée</t>
        </is>
      </c>
      <c r="B2" s="23" t="inlineStr">
        <is>
          <t>Inès (fondatrice start-up)</t>
        </is>
      </c>
      <c r="C2" s="23" t="inlineStr">
        <is>
          <t>1 - Pas consciente</t>
        </is>
      </c>
      <c r="D2" s="23" t="inlineStr">
        <is>
          <t>Inspiration</t>
        </is>
      </c>
      <c r="E2" s="23" t="inlineStr">
        <is>
          <t>Instagram</t>
        </is>
      </c>
      <c r="F2" s="23" t="inlineStr">
        <is>
          <t>Reel</t>
        </is>
      </c>
      <c r="G2" s="23" t="inlineStr">
        <is>
          <t>L'Annexe by RG</t>
        </is>
      </c>
      <c r="H2" s="23" t="inlineStr">
        <is>
          <t>Tu</t>
        </is>
      </c>
      <c r="I2" s="23" t="inlineStr">
        <is>
          <t>À faire</t>
        </is>
      </c>
    </row>
    <row r="3">
      <c r="A3" s="23" t="inlineStr">
        <is>
          <t>À rédiger</t>
        </is>
      </c>
      <c r="B3" s="23" t="inlineStr">
        <is>
          <t>Maya (freelance)</t>
        </is>
      </c>
      <c r="C3" s="23" t="inlineStr">
        <is>
          <t>2 - Consciente du problème</t>
        </is>
      </c>
      <c r="D3" s="23" t="inlineStr">
        <is>
          <t>Éducation</t>
        </is>
      </c>
      <c r="E3" s="23" t="inlineStr">
        <is>
          <t>LinkedIn</t>
        </is>
      </c>
      <c r="F3" s="23" t="inlineStr">
        <is>
          <t>Carrousel</t>
        </is>
      </c>
      <c r="G3" s="23" t="inlineStr">
        <is>
          <t>Rentes Genevoises</t>
        </is>
      </c>
      <c r="H3" s="23" t="inlineStr">
        <is>
          <t>Vous</t>
        </is>
      </c>
      <c r="I3" s="23" t="inlineStr">
        <is>
          <t>En cours</t>
        </is>
      </c>
    </row>
    <row r="4">
      <c r="A4" s="23" t="inlineStr">
        <is>
          <t>En création visuelle</t>
        </is>
      </c>
      <c r="B4" s="23" t="inlineStr">
        <is>
          <t>Sofia (praticienne)</t>
        </is>
      </c>
      <c r="C4" s="23" t="inlineStr">
        <is>
          <t>3 - Connaît les solutions</t>
        </is>
      </c>
      <c r="D4" s="23" t="inlineStr">
        <is>
          <t>Preuve / Marque</t>
        </is>
      </c>
      <c r="E4" s="23" t="inlineStr">
        <is>
          <t>TikTok</t>
        </is>
      </c>
      <c r="F4" s="23" t="inlineStr">
        <is>
          <t>Post image</t>
        </is>
      </c>
      <c r="I4" s="23" t="inlineStr">
        <is>
          <t>Validé</t>
        </is>
      </c>
    </row>
    <row r="5">
      <c r="A5" s="23" t="inlineStr">
        <is>
          <t>En validation</t>
        </is>
      </c>
      <c r="B5" s="23" t="inlineStr">
        <is>
          <t>Toutes</t>
        </is>
      </c>
      <c r="C5" s="23" t="inlineStr">
        <is>
          <t>4 - Connaît RG</t>
        </is>
      </c>
      <c r="D5" s="23" t="inlineStr">
        <is>
          <t>Conversion</t>
        </is>
      </c>
      <c r="E5" s="23" t="inlineStr">
        <is>
          <t>Newsletter</t>
        </is>
      </c>
      <c r="F5" s="23" t="inlineStr">
        <is>
          <t>Story</t>
        </is>
      </c>
      <c r="I5" s="23" t="inlineStr">
        <is>
          <t>Non requis</t>
        </is>
      </c>
    </row>
    <row r="6">
      <c r="A6" s="23" t="inlineStr">
        <is>
          <t>Validé</t>
        </is>
      </c>
      <c r="C6" s="23" t="inlineStr">
        <is>
          <t>5 - Prête</t>
        </is>
      </c>
      <c r="E6" s="23" t="inlineStr">
        <is>
          <t>WhatsApp</t>
        </is>
      </c>
      <c r="F6" s="23" t="inlineStr">
        <is>
          <t>Vidéo</t>
        </is>
      </c>
    </row>
    <row r="7">
      <c r="A7" s="23" t="inlineStr">
        <is>
          <t>Programmé</t>
        </is>
      </c>
      <c r="E7" s="23" t="inlineStr">
        <is>
          <t>Événement</t>
        </is>
      </c>
      <c r="F7" s="23" t="inlineStr">
        <is>
          <t>Live</t>
        </is>
      </c>
    </row>
    <row r="8">
      <c r="A8" s="23" t="inlineStr">
        <is>
          <t>Publié</t>
        </is>
      </c>
      <c r="E8" s="23" t="inlineStr">
        <is>
          <t>Blog L'Annexe</t>
        </is>
      </c>
      <c r="F8" s="23" t="inlineStr">
        <is>
          <t>Article</t>
        </is>
      </c>
    </row>
    <row r="9">
      <c r="A9" s="23" t="inlineStr">
        <is>
          <t>Abandonné</t>
        </is>
      </c>
      <c r="F9" s="23" t="inlineStr">
        <is>
          <t>E-mail</t>
        </is>
      </c>
    </row>
    <row r="10">
      <c r="F10" s="23" t="inlineStr">
        <is>
          <t>Mème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2026-09-28T13:19:06Z</dcterms:created>
  <dcterms:modified xsi:type="dcterms:W3CDTF">2026-09-28T13:19:07Z</dcterms:modified>
</cp:coreProperties>
</file>